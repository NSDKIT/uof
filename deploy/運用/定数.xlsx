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owerSystemLab\Desktop\01_研究資料\05_実行ファイル\program\全体実行\運用\"/>
    </mc:Choice>
  </mc:AlternateContent>
  <xr:revisionPtr revIDLastSave="0" documentId="13_ncr:1_{C9E353AE-9A87-49FD-908A-07438258A27A}" xr6:coauthVersionLast="47" xr6:coauthVersionMax="47" xr10:uidLastSave="{00000000-0000-0000-0000-000000000000}"/>
  <bookViews>
    <workbookView xWindow="0" yWindow="0" windowWidth="12795" windowHeight="15600" firstSheet="2" activeTab="3" xr2:uid="{00000000-000D-0000-FFFF-FFFF00000000}"/>
  </bookViews>
  <sheets>
    <sheet name="可変速揚水関数（揚水）" sheetId="16" r:id="rId1"/>
    <sheet name="可変速揚水関数（発電）" sheetId="15" r:id="rId2"/>
    <sheet name="可変速揚水定数" sheetId="14" r:id="rId3"/>
    <sheet name="汽力定数" sheetId="7" r:id="rId4"/>
    <sheet name="汽力関数" sheetId="9" r:id="rId5"/>
    <sheet name="GTCC定数" sheetId="10" r:id="rId6"/>
    <sheet name="GTCC関数" sheetId="11" r:id="rId7"/>
    <sheet name="定速揚水定数" sheetId="13" r:id="rId8"/>
    <sheet name="定速揚水関数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7" l="1"/>
  <c r="C4" i="13"/>
  <c r="E9" i="7"/>
  <c r="F9" i="7"/>
  <c r="G9" i="7"/>
  <c r="L9" i="7"/>
  <c r="D9" i="7"/>
</calcChain>
</file>

<file path=xl/sharedStrings.xml><?xml version="1.0" encoding="utf-8"?>
<sst xmlns="http://schemas.openxmlformats.org/spreadsheetml/2006/main" count="347" uniqueCount="245">
  <si>
    <t>GF幅[pu]</t>
    <rPh sb="2" eb="3">
      <t>ハバ</t>
    </rPh>
    <phoneticPr fontId="2"/>
  </si>
  <si>
    <t>変数</t>
    <rPh sb="0" eb="2">
      <t>ヘンスウ</t>
    </rPh>
    <phoneticPr fontId="2"/>
  </si>
  <si>
    <t>項目</t>
    <rPh sb="0" eb="2">
      <t>コウモク</t>
    </rPh>
    <phoneticPr fontId="2"/>
  </si>
  <si>
    <t>定格出力[MW]</t>
    <rPh sb="0" eb="2">
      <t>テイカク</t>
    </rPh>
    <rPh sb="2" eb="4">
      <t>シュツリョク</t>
    </rPh>
    <phoneticPr fontId="2"/>
  </si>
  <si>
    <t>大気温度設計値[℃]</t>
    <rPh sb="0" eb="2">
      <t>タイキ</t>
    </rPh>
    <rPh sb="2" eb="4">
      <t>オンド</t>
    </rPh>
    <rPh sb="3" eb="4">
      <t>ド</t>
    </rPh>
    <rPh sb="4" eb="7">
      <t>セッケイチ</t>
    </rPh>
    <phoneticPr fontId="2"/>
  </si>
  <si>
    <r>
      <t>定格出力時のガスタービン入口温度</t>
    </r>
    <r>
      <rPr>
        <sz val="10"/>
        <color indexed="8"/>
        <rFont val="ＭＳ Ｐゴシック"/>
        <family val="3"/>
        <charset val="128"/>
      </rPr>
      <t>[℃]</t>
    </r>
    <rPh sb="0" eb="2">
      <t>テイカク</t>
    </rPh>
    <rPh sb="2" eb="4">
      <t>シュツリョク</t>
    </rPh>
    <rPh sb="4" eb="5">
      <t>ジ</t>
    </rPh>
    <rPh sb="12" eb="14">
      <t>イリグチ</t>
    </rPh>
    <rPh sb="14" eb="16">
      <t>オンド</t>
    </rPh>
    <phoneticPr fontId="2"/>
  </si>
  <si>
    <t>圧縮機圧力比</t>
    <rPh sb="0" eb="3">
      <t>アッシュクキ</t>
    </rPh>
    <rPh sb="3" eb="5">
      <t>アツリョク</t>
    </rPh>
    <rPh sb="5" eb="6">
      <t>ヒ</t>
    </rPh>
    <phoneticPr fontId="2"/>
  </si>
  <si>
    <t>圧縮部比熱比</t>
    <rPh sb="0" eb="2">
      <t>アッシュク</t>
    </rPh>
    <rPh sb="2" eb="3">
      <t>ブ</t>
    </rPh>
    <rPh sb="3" eb="5">
      <t>ヒネツ</t>
    </rPh>
    <rPh sb="5" eb="6">
      <t>ヒ</t>
    </rPh>
    <phoneticPr fontId="2"/>
  </si>
  <si>
    <r>
      <t>圧縮機効率</t>
    </r>
    <r>
      <rPr>
        <sz val="10"/>
        <color indexed="8"/>
        <rFont val="ＭＳ Ｐゴシック"/>
        <family val="3"/>
        <charset val="128"/>
      </rPr>
      <t>[pu]</t>
    </r>
    <rPh sb="0" eb="3">
      <t>アッシュクキ</t>
    </rPh>
    <rPh sb="3" eb="5">
      <t>コウリツ</t>
    </rPh>
    <phoneticPr fontId="2"/>
  </si>
  <si>
    <t>燃焼器・タービン部比熱比</t>
    <rPh sb="0" eb="3">
      <t>ネンショウキ</t>
    </rPh>
    <rPh sb="8" eb="9">
      <t>ブ</t>
    </rPh>
    <rPh sb="9" eb="11">
      <t>ヒネツ</t>
    </rPh>
    <rPh sb="11" eb="12">
      <t>ヒ</t>
    </rPh>
    <phoneticPr fontId="2"/>
  </si>
  <si>
    <t>タービン効率[pu]</t>
    <rPh sb="4" eb="6">
      <t>コウリツ</t>
    </rPh>
    <phoneticPr fontId="2"/>
  </si>
  <si>
    <r>
      <t>総圧力損失</t>
    </r>
    <r>
      <rPr>
        <sz val="10"/>
        <color indexed="8"/>
        <rFont val="ＭＳ Ｐゴシック"/>
        <family val="3"/>
        <charset val="128"/>
      </rPr>
      <t>[pu]</t>
    </r>
    <rPh sb="0" eb="1">
      <t>ソウ</t>
    </rPh>
    <rPh sb="1" eb="3">
      <t>アツリョク</t>
    </rPh>
    <rPh sb="3" eb="5">
      <t>ソンシツ</t>
    </rPh>
    <phoneticPr fontId="2"/>
  </si>
  <si>
    <r>
      <t>排熱回収ボイラ遅れ時定数</t>
    </r>
    <r>
      <rPr>
        <sz val="10"/>
        <color indexed="8"/>
        <rFont val="ＭＳ Ｐゴシック"/>
        <family val="3"/>
        <charset val="128"/>
      </rPr>
      <t>[s]</t>
    </r>
    <rPh sb="0" eb="2">
      <t>ハイネツ</t>
    </rPh>
    <rPh sb="2" eb="4">
      <t>カイシュウ</t>
    </rPh>
    <rPh sb="7" eb="8">
      <t>オク</t>
    </rPh>
    <rPh sb="9" eb="12">
      <t>ジテイスウ</t>
    </rPh>
    <phoneticPr fontId="2"/>
  </si>
  <si>
    <t>速度調定率[%]</t>
    <rPh sb="0" eb="2">
      <t>ソクド</t>
    </rPh>
    <rPh sb="2" eb="4">
      <t>チョウテイ</t>
    </rPh>
    <rPh sb="4" eb="5">
      <t>リツ</t>
    </rPh>
    <phoneticPr fontId="2"/>
  </si>
  <si>
    <r>
      <t>負荷設定時定数</t>
    </r>
    <r>
      <rPr>
        <sz val="10"/>
        <color indexed="8"/>
        <rFont val="ＭＳ Ｐゴシック"/>
        <family val="3"/>
        <charset val="128"/>
      </rPr>
      <t>[s]</t>
    </r>
    <rPh sb="0" eb="2">
      <t>フカ</t>
    </rPh>
    <rPh sb="2" eb="4">
      <t>セッテイ</t>
    </rPh>
    <rPh sb="4" eb="7">
      <t>ジテイスウ</t>
    </rPh>
    <phoneticPr fontId="2"/>
  </si>
  <si>
    <r>
      <t>負荷設定上限</t>
    </r>
    <r>
      <rPr>
        <sz val="10"/>
        <color indexed="8"/>
        <rFont val="ＭＳ Ｐゴシック"/>
        <family val="3"/>
        <charset val="128"/>
      </rPr>
      <t>[pu]</t>
    </r>
    <rPh sb="0" eb="2">
      <t>フカ</t>
    </rPh>
    <rPh sb="2" eb="4">
      <t>セッテイ</t>
    </rPh>
    <rPh sb="4" eb="6">
      <t>ジョウゲン</t>
    </rPh>
    <phoneticPr fontId="2"/>
  </si>
  <si>
    <r>
      <t>負荷設定下限</t>
    </r>
    <r>
      <rPr>
        <sz val="10"/>
        <color indexed="8"/>
        <rFont val="ＭＳ Ｐゴシック"/>
        <family val="3"/>
        <charset val="128"/>
      </rPr>
      <t>[pu]</t>
    </r>
    <phoneticPr fontId="2"/>
  </si>
  <si>
    <r>
      <t>負荷設定変化率</t>
    </r>
    <r>
      <rPr>
        <sz val="10"/>
        <color indexed="8"/>
        <rFont val="ＭＳ Ｐゴシック"/>
        <family val="3"/>
        <charset val="128"/>
      </rPr>
      <t>[pu/min]</t>
    </r>
    <rPh sb="0" eb="2">
      <t>フカ</t>
    </rPh>
    <rPh sb="2" eb="4">
      <t>セッテイ</t>
    </rPh>
    <rPh sb="4" eb="6">
      <t>ヘンカ</t>
    </rPh>
    <rPh sb="6" eb="7">
      <t>リツ</t>
    </rPh>
    <phoneticPr fontId="2"/>
  </si>
  <si>
    <r>
      <t>負荷制限制御時定数</t>
    </r>
    <r>
      <rPr>
        <sz val="10"/>
        <color indexed="8"/>
        <rFont val="ＭＳ Ｐゴシック"/>
        <family val="3"/>
        <charset val="128"/>
      </rPr>
      <t>[s]</t>
    </r>
    <rPh sb="0" eb="2">
      <t>フカ</t>
    </rPh>
    <rPh sb="2" eb="4">
      <t>セイゲン</t>
    </rPh>
    <rPh sb="4" eb="6">
      <t>セイギョ</t>
    </rPh>
    <rPh sb="6" eb="9">
      <t>ジテイスウ</t>
    </rPh>
    <phoneticPr fontId="2"/>
  </si>
  <si>
    <r>
      <t>排ガス温度制御時定数</t>
    </r>
    <r>
      <rPr>
        <sz val="10"/>
        <color indexed="8"/>
        <rFont val="ＭＳ Ｐゴシック"/>
        <family val="3"/>
        <charset val="128"/>
      </rPr>
      <t>[s]</t>
    </r>
    <rPh sb="0" eb="1">
      <t>ハイ</t>
    </rPh>
    <rPh sb="3" eb="5">
      <t>オンド</t>
    </rPh>
    <rPh sb="5" eb="7">
      <t>セイギョ</t>
    </rPh>
    <rPh sb="7" eb="10">
      <t>ジテイスウ</t>
    </rPh>
    <phoneticPr fontId="2"/>
  </si>
  <si>
    <t>排ガス温度偏差ゲイン</t>
    <rPh sb="0" eb="1">
      <t>ハイ</t>
    </rPh>
    <rPh sb="3" eb="5">
      <t>オンド</t>
    </rPh>
    <rPh sb="5" eb="7">
      <t>ヘンサ</t>
    </rPh>
    <phoneticPr fontId="2"/>
  </si>
  <si>
    <r>
      <t>排ガス温度計測時定数</t>
    </r>
    <r>
      <rPr>
        <sz val="10"/>
        <color indexed="8"/>
        <rFont val="ＭＳ Ｐゴシック"/>
        <family val="3"/>
        <charset val="128"/>
      </rPr>
      <t>[s]</t>
    </r>
    <rPh sb="0" eb="1">
      <t>ハイ</t>
    </rPh>
    <rPh sb="3" eb="5">
      <t>オンド</t>
    </rPh>
    <rPh sb="5" eb="7">
      <t>ケイソク</t>
    </rPh>
    <rPh sb="7" eb="10">
      <t>ジテイスウ</t>
    </rPh>
    <phoneticPr fontId="2"/>
  </si>
  <si>
    <r>
      <t>燃料系統時定数</t>
    </r>
    <r>
      <rPr>
        <sz val="10"/>
        <color indexed="8"/>
        <rFont val="ＭＳ Ｐゴシック"/>
        <family val="3"/>
        <charset val="128"/>
      </rPr>
      <t>[s]</t>
    </r>
    <rPh sb="0" eb="2">
      <t>ネンリョウ</t>
    </rPh>
    <rPh sb="2" eb="4">
      <t>ケイトウ</t>
    </rPh>
    <rPh sb="4" eb="7">
      <t>ジテイスウ</t>
    </rPh>
    <phoneticPr fontId="2"/>
  </si>
  <si>
    <r>
      <t>燃料制御信号上限</t>
    </r>
    <r>
      <rPr>
        <sz val="10"/>
        <color indexed="8"/>
        <rFont val="ＭＳ Ｐゴシック"/>
        <family val="3"/>
        <charset val="128"/>
      </rPr>
      <t>[pu]</t>
    </r>
    <rPh sb="0" eb="2">
      <t>ネンリョウ</t>
    </rPh>
    <rPh sb="2" eb="4">
      <t>セイギョ</t>
    </rPh>
    <rPh sb="4" eb="6">
      <t>シンゴウ</t>
    </rPh>
    <rPh sb="6" eb="8">
      <t>ジョウゲン</t>
    </rPh>
    <phoneticPr fontId="2"/>
  </si>
  <si>
    <r>
      <t>燃料制御信号下限</t>
    </r>
    <r>
      <rPr>
        <sz val="10"/>
        <color indexed="8"/>
        <rFont val="ＭＳ Ｐゴシック"/>
        <family val="3"/>
        <charset val="128"/>
      </rPr>
      <t>[pu]</t>
    </r>
    <rPh sb="0" eb="2">
      <t>ネンリョウ</t>
    </rPh>
    <rPh sb="2" eb="4">
      <t>セイギョ</t>
    </rPh>
    <rPh sb="4" eb="6">
      <t>シンゴウ</t>
    </rPh>
    <rPh sb="6" eb="8">
      <t>カゲン</t>
    </rPh>
    <phoneticPr fontId="2"/>
  </si>
  <si>
    <t>IGV開度制御比例ゲイン</t>
    <rPh sb="3" eb="5">
      <t>カイド</t>
    </rPh>
    <rPh sb="5" eb="7">
      <t>セイギョ</t>
    </rPh>
    <rPh sb="7" eb="9">
      <t>ヒレイ</t>
    </rPh>
    <phoneticPr fontId="2"/>
  </si>
  <si>
    <t>IGV開度制御積分時定数[s]</t>
    <rPh sb="3" eb="5">
      <t>カイド</t>
    </rPh>
    <rPh sb="5" eb="7">
      <t>セイギョ</t>
    </rPh>
    <rPh sb="7" eb="9">
      <t>セキブン</t>
    </rPh>
    <rPh sb="9" eb="12">
      <t>ジテイスウ</t>
    </rPh>
    <phoneticPr fontId="2"/>
  </si>
  <si>
    <r>
      <t>IGV開度上限</t>
    </r>
    <r>
      <rPr>
        <sz val="10"/>
        <color indexed="8"/>
        <rFont val="ＭＳ Ｐゴシック"/>
        <family val="3"/>
        <charset val="128"/>
      </rPr>
      <t>[pu]</t>
    </r>
    <rPh sb="3" eb="5">
      <t>カイド</t>
    </rPh>
    <rPh sb="5" eb="7">
      <t>ジョウゲン</t>
    </rPh>
    <phoneticPr fontId="2"/>
  </si>
  <si>
    <r>
      <t>IGV開度下限</t>
    </r>
    <r>
      <rPr>
        <sz val="10"/>
        <color indexed="8"/>
        <rFont val="ＭＳ Ｐゴシック"/>
        <family val="3"/>
        <charset val="128"/>
      </rPr>
      <t>[pu]</t>
    </r>
    <rPh sb="3" eb="5">
      <t>カイド</t>
    </rPh>
    <rPh sb="5" eb="7">
      <t>カゲン</t>
    </rPh>
    <phoneticPr fontId="2"/>
  </si>
  <si>
    <r>
      <t>IGVアクチュエータ時定数</t>
    </r>
    <r>
      <rPr>
        <sz val="10"/>
        <color indexed="8"/>
        <rFont val="ＭＳ Ｐゴシック"/>
        <family val="3"/>
        <charset val="128"/>
      </rPr>
      <t>[s]</t>
    </r>
    <rPh sb="10" eb="13">
      <t>ジテイスウ</t>
    </rPh>
    <phoneticPr fontId="2"/>
  </si>
  <si>
    <t>タイプ1</t>
    <phoneticPr fontId="2"/>
  </si>
  <si>
    <t>タイプ2</t>
    <phoneticPr fontId="2"/>
  </si>
  <si>
    <t>負荷設定比例ゲイン*3</t>
    <phoneticPr fontId="2"/>
  </si>
  <si>
    <t>出力上限[pu]</t>
    <phoneticPr fontId="2"/>
  </si>
  <si>
    <t>出力下限[pu]</t>
    <phoneticPr fontId="2"/>
  </si>
  <si>
    <t>ボイラ発生蒸気時定数[s]</t>
    <phoneticPr fontId="2"/>
  </si>
  <si>
    <t>ボイラ特性時定数[s]</t>
    <phoneticPr fontId="2"/>
  </si>
  <si>
    <t>圧力制御時定数[s]</t>
    <phoneticPr fontId="2"/>
  </si>
  <si>
    <t>出力制御時定数[s]</t>
    <phoneticPr fontId="2"/>
  </si>
  <si>
    <t>負荷設定積分時定数[s]*3</t>
    <phoneticPr fontId="2"/>
  </si>
  <si>
    <t>負荷設定上限[pu]*3</t>
    <phoneticPr fontId="2"/>
  </si>
  <si>
    <t>負荷設定下限[pu]*3</t>
    <phoneticPr fontId="2"/>
  </si>
  <si>
    <t>ガバナフリー幅[pu]*3</t>
    <phoneticPr fontId="2"/>
  </si>
  <si>
    <t>負荷制限上限[pu]*3</t>
    <phoneticPr fontId="2"/>
  </si>
  <si>
    <t>負荷制限下限[pu]*3</t>
    <phoneticPr fontId="2"/>
  </si>
  <si>
    <t>出力変化率[pu/min]</t>
    <phoneticPr fontId="2"/>
  </si>
  <si>
    <t>負荷制限変化率[pu/min]*3</t>
    <phoneticPr fontId="2"/>
  </si>
  <si>
    <t>負荷制限時定数[s]*3</t>
    <phoneticPr fontId="2"/>
  </si>
  <si>
    <t>高圧出力分担率</t>
    <phoneticPr fontId="2"/>
  </si>
  <si>
    <t>スピードリレー時定数[pu]</t>
    <phoneticPr fontId="2"/>
  </si>
  <si>
    <t>蒸気加減弁サーボ時定数[s]</t>
    <phoneticPr fontId="2"/>
  </si>
  <si>
    <t>蒸気加減弁サーボ開時間[s]</t>
    <phoneticPr fontId="2"/>
  </si>
  <si>
    <t>高圧タービン時定数[s]</t>
    <phoneticPr fontId="2"/>
  </si>
  <si>
    <t>低圧タービン・再熱器時定数[s]</t>
    <phoneticPr fontId="2"/>
  </si>
  <si>
    <t>蒸気加減弁サーボ閉時間[s]</t>
    <phoneticPr fontId="2"/>
  </si>
  <si>
    <t>蒸気加減弁開度上限[pu]</t>
    <phoneticPr fontId="2"/>
  </si>
  <si>
    <t>蒸気加減弁開度下限[pu]</t>
    <phoneticPr fontId="2"/>
  </si>
  <si>
    <t>スピードリレー進み時定数[s]</t>
    <phoneticPr fontId="2"/>
  </si>
  <si>
    <t>出力制御時定数入切</t>
    <rPh sb="7" eb="8">
      <t>イ</t>
    </rPh>
    <rPh sb="8" eb="9">
      <t>キ</t>
    </rPh>
    <phoneticPr fontId="2"/>
  </si>
  <si>
    <t>速度調定率[%]</t>
    <phoneticPr fontId="2"/>
  </si>
  <si>
    <t>出力[pu]</t>
    <rPh sb="0" eb="2">
      <t>シュツリョク</t>
    </rPh>
    <phoneticPr fontId="2"/>
  </si>
  <si>
    <t>周波数
偏差[Hz]</t>
    <rPh sb="0" eb="3">
      <t>シュウハスウ</t>
    </rPh>
    <rPh sb="4" eb="6">
      <t>ヘンサ</t>
    </rPh>
    <phoneticPr fontId="2"/>
  </si>
  <si>
    <t>主蒸気
圧力[pu]</t>
    <rPh sb="0" eb="1">
      <t>シュ</t>
    </rPh>
    <rPh sb="1" eb="3">
      <t>ジョウキ</t>
    </rPh>
    <rPh sb="4" eb="6">
      <t>アツリョク</t>
    </rPh>
    <phoneticPr fontId="2"/>
  </si>
  <si>
    <t>大気温度[℃]</t>
    <rPh sb="0" eb="2">
      <t>タイキ</t>
    </rPh>
    <rPh sb="2" eb="4">
      <t>オンド</t>
    </rPh>
    <rPh sb="3" eb="4">
      <t>ド</t>
    </rPh>
    <phoneticPr fontId="2"/>
  </si>
  <si>
    <t>定格出力時のＧＴ出力分担比</t>
    <rPh sb="0" eb="2">
      <t>テイカク</t>
    </rPh>
    <rPh sb="2" eb="4">
      <t>シュツリョク</t>
    </rPh>
    <rPh sb="4" eb="5">
      <t>ジ</t>
    </rPh>
    <rPh sb="8" eb="10">
      <t>シュツリョク</t>
    </rPh>
    <rPh sb="10" eb="12">
      <t>ブンタン</t>
    </rPh>
    <rPh sb="12" eb="13">
      <t>ヒ</t>
    </rPh>
    <phoneticPr fontId="2"/>
  </si>
  <si>
    <t>タイプ1</t>
    <phoneticPr fontId="2"/>
  </si>
  <si>
    <t>排ガス温度[pu]</t>
    <rPh sb="0" eb="1">
      <t>ハイ</t>
    </rPh>
    <rPh sb="3" eb="5">
      <t>オンド</t>
    </rPh>
    <phoneticPr fontId="2"/>
  </si>
  <si>
    <t>GT出力
[pu]</t>
    <rPh sb="2" eb="4">
      <t>シュツリョク</t>
    </rPh>
    <phoneticPr fontId="2"/>
  </si>
  <si>
    <t>GMW_ST</t>
    <phoneticPr fontId="2"/>
  </si>
  <si>
    <t>U_MWD_ST</t>
    <phoneticPr fontId="2"/>
  </si>
  <si>
    <t>L_MWD_ST</t>
    <phoneticPr fontId="2"/>
  </si>
  <si>
    <t>R_MWD_ST</t>
    <phoneticPr fontId="2"/>
  </si>
  <si>
    <t>T1_B_ST</t>
    <phoneticPr fontId="2"/>
  </si>
  <si>
    <t>T2_B_ST</t>
    <phoneticPr fontId="2"/>
  </si>
  <si>
    <t>T3_B_ST</t>
    <phoneticPr fontId="2"/>
  </si>
  <si>
    <t>T_T_ST</t>
    <phoneticPr fontId="2"/>
  </si>
  <si>
    <t>SW_T_ST</t>
    <phoneticPr fontId="2"/>
  </si>
  <si>
    <t>K_PREF_ST</t>
    <phoneticPr fontId="2"/>
  </si>
  <si>
    <t>T_PREF_ST</t>
    <phoneticPr fontId="2"/>
  </si>
  <si>
    <t>U_PREF_ST</t>
    <phoneticPr fontId="2"/>
  </si>
  <si>
    <t>L_PREF_ST</t>
    <phoneticPr fontId="2"/>
  </si>
  <si>
    <t>PLM_ST</t>
    <phoneticPr fontId="2"/>
  </si>
  <si>
    <t>U_LL_ST</t>
    <phoneticPr fontId="2"/>
  </si>
  <si>
    <t>L_LL_ST</t>
    <phoneticPr fontId="2"/>
  </si>
  <si>
    <t>R_LL_ST</t>
    <phoneticPr fontId="2"/>
  </si>
  <si>
    <t>T_LL_ST</t>
    <phoneticPr fontId="2"/>
  </si>
  <si>
    <t>K_G_ST</t>
    <phoneticPr fontId="2"/>
  </si>
  <si>
    <t>T1_G_ST</t>
    <phoneticPr fontId="2"/>
  </si>
  <si>
    <t>T2_G_ST</t>
    <phoneticPr fontId="2"/>
  </si>
  <si>
    <t>T3_G_ST</t>
    <phoneticPr fontId="2"/>
  </si>
  <si>
    <t>T4_G_ST</t>
    <phoneticPr fontId="2"/>
  </si>
  <si>
    <t>T5_G_ST</t>
    <phoneticPr fontId="2"/>
  </si>
  <si>
    <t>T6_G_ST</t>
    <phoneticPr fontId="2"/>
  </si>
  <si>
    <t>U_G_ST</t>
    <phoneticPr fontId="2"/>
  </si>
  <si>
    <t>L_G_ST</t>
    <phoneticPr fontId="2"/>
  </si>
  <si>
    <t>G_G_ST</t>
    <phoneticPr fontId="2"/>
  </si>
  <si>
    <t>周波数バイアス(変数名：FX_FB_ST, FY_FB_ST)</t>
    <rPh sb="0" eb="3">
      <t>シュウハスウ</t>
    </rPh>
    <rPh sb="8" eb="11">
      <t>ヘンスウメイ</t>
    </rPh>
    <phoneticPr fontId="2"/>
  </si>
  <si>
    <t>主蒸気圧力設定(変数名：FX_PTHD_ST, FY_PTHD_ST)</t>
    <rPh sb="0" eb="1">
      <t>シュ</t>
    </rPh>
    <rPh sb="1" eb="3">
      <t>ジョウキ</t>
    </rPh>
    <rPh sb="3" eb="5">
      <t>アツリョク</t>
    </rPh>
    <rPh sb="5" eb="7">
      <t>セッテイ</t>
    </rPh>
    <phoneticPr fontId="2"/>
  </si>
  <si>
    <t>GMW_CC</t>
    <phoneticPr fontId="2"/>
  </si>
  <si>
    <t>U_MWD_CC</t>
    <phoneticPr fontId="2"/>
  </si>
  <si>
    <t>L_MWD_CC</t>
    <phoneticPr fontId="2"/>
  </si>
  <si>
    <t>R_MWD_CC</t>
    <phoneticPr fontId="2"/>
  </si>
  <si>
    <t>TI_CC</t>
    <phoneticPr fontId="2"/>
  </si>
  <si>
    <t>TIO_CC</t>
    <phoneticPr fontId="2"/>
  </si>
  <si>
    <t>TFO_CC</t>
    <phoneticPr fontId="2"/>
  </si>
  <si>
    <t>PRC_CC</t>
    <phoneticPr fontId="2"/>
  </si>
  <si>
    <t>RC_CC</t>
    <phoneticPr fontId="2"/>
  </si>
  <si>
    <t>HC_CC</t>
    <phoneticPr fontId="2"/>
  </si>
  <si>
    <t>RT_CC</t>
    <phoneticPr fontId="2"/>
  </si>
  <si>
    <t>HT_CC</t>
    <phoneticPr fontId="2"/>
  </si>
  <si>
    <t>EP_CC</t>
    <phoneticPr fontId="2"/>
  </si>
  <si>
    <t>T_B_CC</t>
    <phoneticPr fontId="2"/>
  </si>
  <si>
    <t>DELTA_CC</t>
    <phoneticPr fontId="2"/>
  </si>
  <si>
    <t>T_PREF_CC</t>
    <phoneticPr fontId="2"/>
  </si>
  <si>
    <t>U_PREF_CC</t>
    <phoneticPr fontId="2"/>
  </si>
  <si>
    <t>L_PREF_CC</t>
    <phoneticPr fontId="2"/>
  </si>
  <si>
    <t>R_PREF_CC</t>
    <phoneticPr fontId="2"/>
  </si>
  <si>
    <t>PLM_CC</t>
    <phoneticPr fontId="2"/>
  </si>
  <si>
    <t>T_LL_CC</t>
    <phoneticPr fontId="2"/>
  </si>
  <si>
    <t>K_IGV_CC</t>
    <phoneticPr fontId="2"/>
  </si>
  <si>
    <t>T_IGV_CC</t>
    <phoneticPr fontId="2"/>
  </si>
  <si>
    <t>U_IGV_CC</t>
    <phoneticPr fontId="2"/>
  </si>
  <si>
    <t>L_IGV_CC</t>
    <phoneticPr fontId="2"/>
  </si>
  <si>
    <t>T_FUEL_CC</t>
    <phoneticPr fontId="2"/>
  </si>
  <si>
    <t>L_FUEL_CC</t>
    <phoneticPr fontId="2"/>
  </si>
  <si>
    <t>排ガス温度設定値（燃料流量制御用）
  （変数名：FX_TE1_CC, FY_TE1_CC)</t>
    <rPh sb="0" eb="1">
      <t>ハイ</t>
    </rPh>
    <rPh sb="3" eb="5">
      <t>オンド</t>
    </rPh>
    <rPh sb="5" eb="7">
      <t>セッテイ</t>
    </rPh>
    <rPh sb="7" eb="8">
      <t>チ</t>
    </rPh>
    <rPh sb="9" eb="11">
      <t>ネンリョウ</t>
    </rPh>
    <rPh sb="11" eb="13">
      <t>リュウリョウ</t>
    </rPh>
    <rPh sb="13" eb="16">
      <t>セイギョヨウ</t>
    </rPh>
    <rPh sb="21" eb="24">
      <t>ヘンスウメイ</t>
    </rPh>
    <phoneticPr fontId="2"/>
  </si>
  <si>
    <t>周波数バイアス
(変数名：FX_FB_CC, FY_FB_CC)</t>
    <rPh sb="0" eb="3">
      <t>シュウハスウ</t>
    </rPh>
    <rPh sb="9" eb="12">
      <t>ヘンスウメイ</t>
    </rPh>
    <phoneticPr fontId="2"/>
  </si>
  <si>
    <t>排ガス温度設定値（空気流量制御用）
  （変数名：FX_TE2_CC, FY_TE2_CC)</t>
    <rPh sb="0" eb="1">
      <t>ハイ</t>
    </rPh>
    <rPh sb="3" eb="5">
      <t>オンド</t>
    </rPh>
    <rPh sb="5" eb="7">
      <t>セッテイ</t>
    </rPh>
    <rPh sb="7" eb="8">
      <t>チ</t>
    </rPh>
    <rPh sb="9" eb="11">
      <t>クウキ</t>
    </rPh>
    <rPh sb="11" eb="13">
      <t>リュウリョウ</t>
    </rPh>
    <rPh sb="13" eb="16">
      <t>セイギョヨウ</t>
    </rPh>
    <rPh sb="21" eb="24">
      <t>ヘンスウメイ</t>
    </rPh>
    <phoneticPr fontId="2"/>
  </si>
  <si>
    <t>FGT_CC</t>
    <phoneticPr fontId="2"/>
  </si>
  <si>
    <t>T_TE_CC</t>
    <phoneticPr fontId="2"/>
  </si>
  <si>
    <t>K_TE_CC</t>
    <phoneticPr fontId="2"/>
  </si>
  <si>
    <t>T_TEM_CC</t>
    <phoneticPr fontId="2"/>
  </si>
  <si>
    <t>T_IGVA_CC</t>
    <phoneticPr fontId="2"/>
  </si>
  <si>
    <t>U_FUEL_CC</t>
    <phoneticPr fontId="2"/>
  </si>
  <si>
    <t>タイプ1</t>
    <phoneticPr fontId="2"/>
  </si>
  <si>
    <t>周波数バイアス
(変数名：FX_FB_WT, FY_FB_WT)</t>
    <rPh sb="0" eb="3">
      <t>シュウハスウ</t>
    </rPh>
    <rPh sb="9" eb="12">
      <t>ヘンスウメイ</t>
    </rPh>
    <phoneticPr fontId="2"/>
  </si>
  <si>
    <t>U_MWD_WT</t>
    <phoneticPr fontId="2"/>
  </si>
  <si>
    <t>速度垂下率</t>
    <rPh sb="0" eb="2">
      <t>ソクド</t>
    </rPh>
    <rPh sb="2" eb="5">
      <t>スイカリツ</t>
    </rPh>
    <phoneticPr fontId="2"/>
  </si>
  <si>
    <t>PID比例要素ゲイン</t>
    <rPh sb="3" eb="5">
      <t>ヒレイ</t>
    </rPh>
    <rPh sb="5" eb="7">
      <t>ヨウソ</t>
    </rPh>
    <phoneticPr fontId="2"/>
  </si>
  <si>
    <t>PID微分要素ゲイン</t>
    <rPh sb="3" eb="5">
      <t>ビブン</t>
    </rPh>
    <rPh sb="5" eb="7">
      <t>ヨウソ</t>
    </rPh>
    <phoneticPr fontId="2"/>
  </si>
  <si>
    <t>PID微分要素時定数</t>
    <rPh sb="3" eb="5">
      <t>ビブン</t>
    </rPh>
    <rPh sb="5" eb="7">
      <t>ヨウソ</t>
    </rPh>
    <rPh sb="7" eb="8">
      <t>ジ</t>
    </rPh>
    <rPh sb="8" eb="10">
      <t>テイスウ</t>
    </rPh>
    <phoneticPr fontId="2"/>
  </si>
  <si>
    <t>コンバータ時定数</t>
    <rPh sb="5" eb="8">
      <t>ジテイスウ</t>
    </rPh>
    <phoneticPr fontId="2"/>
  </si>
  <si>
    <t>サーボモータ時定数</t>
    <rPh sb="6" eb="9">
      <t>ジテイスウ</t>
    </rPh>
    <phoneticPr fontId="2"/>
  </si>
  <si>
    <t>サーボモータ時定数
（2次遅れ）</t>
    <rPh sb="6" eb="9">
      <t>ジテイスウ</t>
    </rPh>
    <rPh sb="12" eb="13">
      <t>ジ</t>
    </rPh>
    <rPh sb="13" eb="14">
      <t>オク</t>
    </rPh>
    <phoneticPr fontId="2"/>
  </si>
  <si>
    <t>ガイド弁開度出力換算係数</t>
    <rPh sb="3" eb="4">
      <t>ベン</t>
    </rPh>
    <rPh sb="4" eb="6">
      <t>カイド</t>
    </rPh>
    <rPh sb="6" eb="8">
      <t>シュツリョク</t>
    </rPh>
    <rPh sb="8" eb="10">
      <t>カンサン</t>
    </rPh>
    <rPh sb="10" eb="12">
      <t>ケイスウ</t>
    </rPh>
    <phoneticPr fontId="2"/>
  </si>
  <si>
    <t>水路特性時定数</t>
    <rPh sb="0" eb="2">
      <t>スイロ</t>
    </rPh>
    <rPh sb="2" eb="4">
      <t>トクセイ</t>
    </rPh>
    <rPh sb="4" eb="7">
      <t>ジテイスウ</t>
    </rPh>
    <phoneticPr fontId="2"/>
  </si>
  <si>
    <t>GMW_WT</t>
    <phoneticPr fontId="2"/>
  </si>
  <si>
    <t>タイプ1</t>
    <phoneticPr fontId="2"/>
  </si>
  <si>
    <t>出力上限[pu]</t>
    <phoneticPr fontId="2"/>
  </si>
  <si>
    <t>出力下限[pu]</t>
    <phoneticPr fontId="2"/>
  </si>
  <si>
    <t>シーケンサゲイン</t>
    <phoneticPr fontId="2"/>
  </si>
  <si>
    <t>コンバータゲイン</t>
    <phoneticPr fontId="2"/>
  </si>
  <si>
    <t>サーボモータゲイン</t>
    <phoneticPr fontId="2"/>
  </si>
  <si>
    <t>L_MWD_WT</t>
    <phoneticPr fontId="2"/>
  </si>
  <si>
    <t>K_SEQ_WT</t>
    <phoneticPr fontId="2"/>
  </si>
  <si>
    <t>K_SD_WT</t>
    <phoneticPr fontId="2"/>
  </si>
  <si>
    <t>KP_PID_WT</t>
    <phoneticPr fontId="2"/>
  </si>
  <si>
    <t>KI_PID_WT</t>
    <phoneticPr fontId="2"/>
  </si>
  <si>
    <t>KD_PID_WT</t>
    <phoneticPr fontId="2"/>
  </si>
  <si>
    <t>TD_PID_WT</t>
    <phoneticPr fontId="2"/>
  </si>
  <si>
    <t>K1_CONV_WT</t>
    <phoneticPr fontId="2"/>
  </si>
  <si>
    <t>T1_CONV_WT</t>
    <phoneticPr fontId="2"/>
  </si>
  <si>
    <t>K2_SERV_WT</t>
    <phoneticPr fontId="2"/>
  </si>
  <si>
    <t>T2_SERV_WT</t>
    <phoneticPr fontId="2"/>
  </si>
  <si>
    <t>T3_SERV_WT</t>
    <phoneticPr fontId="2"/>
  </si>
  <si>
    <t>P_G_CONV_WT</t>
    <phoneticPr fontId="2"/>
  </si>
  <si>
    <t>TW_WAY_WT</t>
    <phoneticPr fontId="2"/>
  </si>
  <si>
    <t>PID積分要素ゲイン</t>
    <rPh sb="3" eb="5">
      <t>セキブン</t>
    </rPh>
    <rPh sb="5" eb="7">
      <t>ヨウソ</t>
    </rPh>
    <phoneticPr fontId="2"/>
  </si>
  <si>
    <t>GMW_VA</t>
  </si>
  <si>
    <t>出力上限（発電）[pu]</t>
    <rPh sb="5" eb="7">
      <t>ハツデン</t>
    </rPh>
    <phoneticPr fontId="2"/>
  </si>
  <si>
    <t>L_MWD_GN_VA</t>
  </si>
  <si>
    <t>出力下限（発電）[pu]</t>
    <rPh sb="5" eb="7">
      <t>ハツデン</t>
    </rPh>
    <phoneticPr fontId="2"/>
  </si>
  <si>
    <t>入力上限（揚水）[pu]</t>
    <rPh sb="0" eb="2">
      <t>ニュウリョク</t>
    </rPh>
    <rPh sb="5" eb="7">
      <t>ヨウスイ</t>
    </rPh>
    <phoneticPr fontId="2"/>
  </si>
  <si>
    <t>L_MWD_PM_VA</t>
  </si>
  <si>
    <t>入力下限（揚水）[pu]</t>
    <rPh sb="0" eb="2">
      <t>ニュウリョク</t>
    </rPh>
    <rPh sb="5" eb="7">
      <t>ヨウスイ</t>
    </rPh>
    <phoneticPr fontId="2"/>
  </si>
  <si>
    <t>RATE_GN_VA</t>
  </si>
  <si>
    <t>変化率リミッタ（発電） [pu/s]</t>
    <rPh sb="0" eb="3">
      <t>ヘンカリツ</t>
    </rPh>
    <rPh sb="8" eb="10">
      <t>ハツデン</t>
    </rPh>
    <phoneticPr fontId="2"/>
  </si>
  <si>
    <t>RATE_PM_VA</t>
  </si>
  <si>
    <t>変化率リミッタ（揚水） [pu/s]</t>
    <rPh sb="0" eb="3">
      <t>ヘンカリツ</t>
    </rPh>
    <rPh sb="8" eb="10">
      <t>ヨウスイ</t>
    </rPh>
    <phoneticPr fontId="2"/>
  </si>
  <si>
    <t>K_SD_VA</t>
  </si>
  <si>
    <t>KP_PID_VA</t>
  </si>
  <si>
    <t>KI_PID_VA</t>
  </si>
  <si>
    <t>KD_PID_VA</t>
  </si>
  <si>
    <t>TD_PID_VA</t>
  </si>
  <si>
    <t>K1_CONV_VA</t>
  </si>
  <si>
    <t>T1_CONV_VA</t>
  </si>
  <si>
    <t>K2_SERV_VA</t>
  </si>
  <si>
    <t>T2_SERV_VA</t>
  </si>
  <si>
    <t>T3_SERV_VA</t>
  </si>
  <si>
    <t>サーボモータ時定数（2次遅れ）</t>
    <rPh sb="6" eb="9">
      <t>ジテイスウ</t>
    </rPh>
    <rPh sb="11" eb="12">
      <t>ジ</t>
    </rPh>
    <rPh sb="12" eb="13">
      <t>オク</t>
    </rPh>
    <phoneticPr fontId="2"/>
  </si>
  <si>
    <t>TW_WAY_VA</t>
  </si>
  <si>
    <t>M_VA</t>
  </si>
  <si>
    <t>回転子慣性定数</t>
    <rPh sb="0" eb="3">
      <t>カイテンシ</t>
    </rPh>
    <rPh sb="3" eb="5">
      <t>カンセイ</t>
    </rPh>
    <rPh sb="5" eb="7">
      <t>テイスウ</t>
    </rPh>
    <phoneticPr fontId="2"/>
  </si>
  <si>
    <t>速度指令時定数</t>
    <rPh sb="0" eb="2">
      <t>ソクド</t>
    </rPh>
    <rPh sb="2" eb="4">
      <t>シレイ</t>
    </rPh>
    <rPh sb="4" eb="7">
      <t>ジテイスウ</t>
    </rPh>
    <phoneticPr fontId="2"/>
  </si>
  <si>
    <t>最適回転速度 関数発生器（発電）
（変数名：FX_N_GN_VA, FY_N_GN_VA）</t>
    <rPh sb="0" eb="2">
      <t>サイテキ</t>
    </rPh>
    <rPh sb="2" eb="4">
      <t>カイテン</t>
    </rPh>
    <rPh sb="4" eb="6">
      <t>ソクド</t>
    </rPh>
    <rPh sb="7" eb="9">
      <t>カンスウ</t>
    </rPh>
    <rPh sb="9" eb="12">
      <t>ハッセイキ</t>
    </rPh>
    <rPh sb="13" eb="15">
      <t>ハツデン</t>
    </rPh>
    <rPh sb="18" eb="21">
      <t>ヘンスウメイ</t>
    </rPh>
    <phoneticPr fontId="7"/>
  </si>
  <si>
    <t>有効電力指令 [pu]</t>
    <rPh sb="0" eb="2">
      <t>ユウコウ</t>
    </rPh>
    <rPh sb="2" eb="4">
      <t>デンリョク</t>
    </rPh>
    <rPh sb="4" eb="6">
      <t>シレイ</t>
    </rPh>
    <phoneticPr fontId="7"/>
  </si>
  <si>
    <t>回転速度 [pu]</t>
    <rPh sb="0" eb="2">
      <t>カイテン</t>
    </rPh>
    <rPh sb="2" eb="4">
      <t>ソクド</t>
    </rPh>
    <phoneticPr fontId="7"/>
  </si>
  <si>
    <t>最適案内羽根開度 関数発生器（発電）
（変数名：FX_Y_GN_VA, FY_Y_GN_VA）</t>
    <rPh sb="0" eb="2">
      <t>サイテキ</t>
    </rPh>
    <rPh sb="2" eb="4">
      <t>アンナイ</t>
    </rPh>
    <rPh sb="4" eb="6">
      <t>バネ</t>
    </rPh>
    <rPh sb="6" eb="8">
      <t>カイド</t>
    </rPh>
    <rPh sb="9" eb="11">
      <t>カンスウ</t>
    </rPh>
    <rPh sb="11" eb="14">
      <t>ハッセイキ</t>
    </rPh>
    <rPh sb="15" eb="17">
      <t>ハツデン</t>
    </rPh>
    <rPh sb="20" eb="23">
      <t>ヘンスウメイ</t>
    </rPh>
    <phoneticPr fontId="7"/>
  </si>
  <si>
    <t>案内羽根開度 [pu]</t>
    <rPh sb="0" eb="2">
      <t>アンナイ</t>
    </rPh>
    <rPh sb="2" eb="4">
      <t>バネ</t>
    </rPh>
    <rPh sb="4" eb="6">
      <t>カイド</t>
    </rPh>
    <phoneticPr fontId="7"/>
  </si>
  <si>
    <t>流量・水車出力特性（発電）
（変数名：FX_T_GN_VA, FY_T_GN_VA）</t>
    <rPh sb="0" eb="2">
      <t>リュウリョウ</t>
    </rPh>
    <rPh sb="3" eb="5">
      <t>スイシャ</t>
    </rPh>
    <rPh sb="5" eb="7">
      <t>シュツリョク</t>
    </rPh>
    <rPh sb="7" eb="9">
      <t>トクセイ</t>
    </rPh>
    <rPh sb="10" eb="12">
      <t>ハツデン</t>
    </rPh>
    <rPh sb="15" eb="18">
      <t>ヘンスウメイ</t>
    </rPh>
    <phoneticPr fontId="7"/>
  </si>
  <si>
    <t>流量 [pu]</t>
    <rPh sb="0" eb="2">
      <t>リュウリョウ</t>
    </rPh>
    <phoneticPr fontId="7"/>
  </si>
  <si>
    <t>出力 [pu]</t>
    <rPh sb="0" eb="2">
      <t>シュツリョク</t>
    </rPh>
    <phoneticPr fontId="7"/>
  </si>
  <si>
    <t>最適回転速度 関数発生器（揚水）
（変数名：FX_N_PM_VA, FY_N_PM_VA）</t>
    <rPh sb="0" eb="2">
      <t>サイテキ</t>
    </rPh>
    <rPh sb="2" eb="4">
      <t>カイテン</t>
    </rPh>
    <rPh sb="4" eb="6">
      <t>ソクド</t>
    </rPh>
    <rPh sb="7" eb="9">
      <t>カンスウ</t>
    </rPh>
    <rPh sb="9" eb="12">
      <t>ハッセイキ</t>
    </rPh>
    <rPh sb="13" eb="15">
      <t>ヨウスイ</t>
    </rPh>
    <rPh sb="18" eb="21">
      <t>ヘンスウメイ</t>
    </rPh>
    <phoneticPr fontId="7"/>
  </si>
  <si>
    <t>最適案内羽根開度 関数発生器（揚水）
（変数名：FX_Y_PM_VA, FY_Y_PM_VA）</t>
    <rPh sb="0" eb="2">
      <t>サイテキ</t>
    </rPh>
    <rPh sb="2" eb="4">
      <t>アンナイ</t>
    </rPh>
    <rPh sb="4" eb="6">
      <t>バネ</t>
    </rPh>
    <rPh sb="6" eb="8">
      <t>カイド</t>
    </rPh>
    <rPh sb="9" eb="11">
      <t>カンスウ</t>
    </rPh>
    <rPh sb="11" eb="14">
      <t>ハッセイキ</t>
    </rPh>
    <rPh sb="15" eb="17">
      <t>ヨウスイ</t>
    </rPh>
    <rPh sb="20" eb="23">
      <t>ヘンスウメイ</t>
    </rPh>
    <phoneticPr fontId="7"/>
  </si>
  <si>
    <t>回転速度・水車出力特性（揚水）
（変数名：FX_T_PM_VA, FY_T_PM_VA）</t>
    <rPh sb="0" eb="2">
      <t>カイテン</t>
    </rPh>
    <rPh sb="2" eb="4">
      <t>ソクド</t>
    </rPh>
    <rPh sb="5" eb="7">
      <t>スイシャ</t>
    </rPh>
    <rPh sb="7" eb="9">
      <t>シュツリョク</t>
    </rPh>
    <rPh sb="9" eb="11">
      <t>トクセイ</t>
    </rPh>
    <rPh sb="12" eb="14">
      <t>ヨウスイ</t>
    </rPh>
    <rPh sb="17" eb="20">
      <t>ヘンスウメイ</t>
    </rPh>
    <phoneticPr fontId="7"/>
  </si>
  <si>
    <t>タイプ1</t>
    <phoneticPr fontId="2"/>
  </si>
  <si>
    <t>調速機比例要素ゲイン（発電）</t>
    <rPh sb="3" eb="5">
      <t>ヒレイ</t>
    </rPh>
    <rPh sb="5" eb="7">
      <t>ヨウソ</t>
    </rPh>
    <rPh sb="11" eb="13">
      <t>ハツデン</t>
    </rPh>
    <phoneticPr fontId="2"/>
  </si>
  <si>
    <t>調速機積分要素ゲイン（発電）</t>
    <rPh sb="3" eb="5">
      <t>セキブン</t>
    </rPh>
    <rPh sb="5" eb="7">
      <t>ヨウソ</t>
    </rPh>
    <rPh sb="11" eb="13">
      <t>ハツデン</t>
    </rPh>
    <phoneticPr fontId="2"/>
  </si>
  <si>
    <t>調速機微分要素ゲイン（発電）</t>
    <rPh sb="3" eb="5">
      <t>ビブン</t>
    </rPh>
    <rPh sb="5" eb="7">
      <t>ヨウソ</t>
    </rPh>
    <rPh sb="11" eb="13">
      <t>ハツデン</t>
    </rPh>
    <phoneticPr fontId="2"/>
  </si>
  <si>
    <t>調速機微分要素時定数（発電）</t>
    <rPh sb="3" eb="5">
      <t>ビブン</t>
    </rPh>
    <rPh sb="5" eb="7">
      <t>ヨウソ</t>
    </rPh>
    <rPh sb="7" eb="8">
      <t>ジ</t>
    </rPh>
    <rPh sb="8" eb="10">
      <t>テイスウ</t>
    </rPh>
    <rPh sb="11" eb="13">
      <t>ハツデン</t>
    </rPh>
    <phoneticPr fontId="2"/>
  </si>
  <si>
    <t>調速機比例要素ゲイン（揚水）</t>
    <rPh sb="3" eb="5">
      <t>ヒレイ</t>
    </rPh>
    <rPh sb="5" eb="7">
      <t>ヨウソ</t>
    </rPh>
    <rPh sb="11" eb="13">
      <t>ヨウスイ</t>
    </rPh>
    <phoneticPr fontId="2"/>
  </si>
  <si>
    <t>調速機積分要素ゲイン（揚水）</t>
    <rPh sb="3" eb="5">
      <t>セキブン</t>
    </rPh>
    <rPh sb="5" eb="7">
      <t>ヨウソ</t>
    </rPh>
    <rPh sb="11" eb="13">
      <t>ヨウスイ</t>
    </rPh>
    <phoneticPr fontId="2"/>
  </si>
  <si>
    <t>調速機微分要素ゲイン（揚水）</t>
    <rPh sb="3" eb="5">
      <t>ビブン</t>
    </rPh>
    <rPh sb="5" eb="7">
      <t>ヨウソ</t>
    </rPh>
    <rPh sb="11" eb="13">
      <t>ヨウスイ</t>
    </rPh>
    <phoneticPr fontId="2"/>
  </si>
  <si>
    <t>調速機微分要素時定数（揚水）</t>
    <rPh sb="3" eb="5">
      <t>ビブン</t>
    </rPh>
    <rPh sb="5" eb="7">
      <t>ヨウソ</t>
    </rPh>
    <rPh sb="7" eb="8">
      <t>ジ</t>
    </rPh>
    <rPh sb="8" eb="10">
      <t>テイスウ</t>
    </rPh>
    <rPh sb="11" eb="13">
      <t>ヨウスイ</t>
    </rPh>
    <phoneticPr fontId="2"/>
  </si>
  <si>
    <t>U_MWD_GN_VA</t>
    <phoneticPr fontId="7"/>
  </si>
  <si>
    <t>U_MWD_PM_VA</t>
    <phoneticPr fontId="7"/>
  </si>
  <si>
    <t>T_N_VA</t>
    <phoneticPr fontId="7"/>
  </si>
  <si>
    <t>KP_SG_GN_VA</t>
    <phoneticPr fontId="7"/>
  </si>
  <si>
    <t>KI_SG_GN_VA</t>
    <phoneticPr fontId="7"/>
  </si>
  <si>
    <t>KD_SG_GN_VA</t>
    <phoneticPr fontId="7"/>
  </si>
  <si>
    <t>TD_SG_GN_VA</t>
    <phoneticPr fontId="7"/>
  </si>
  <si>
    <t>KP_SG_PM_VA</t>
    <phoneticPr fontId="7"/>
  </si>
  <si>
    <t>KI_SG_PM_VA</t>
    <phoneticPr fontId="7"/>
  </si>
  <si>
    <t>KD_SG_PM_VA</t>
    <phoneticPr fontId="7"/>
  </si>
  <si>
    <t>TD_SG_PM_VA</t>
    <phoneticPr fontId="7"/>
  </si>
  <si>
    <t>ガイドベーン開度出力換算係数</t>
    <rPh sb="6" eb="8">
      <t>カイド</t>
    </rPh>
    <rPh sb="8" eb="10">
      <t>シュツリョク</t>
    </rPh>
    <rPh sb="10" eb="12">
      <t>カンサン</t>
    </rPh>
    <rPh sb="12" eb="14">
      <t>ケイスウ</t>
    </rPh>
    <phoneticPr fontId="2"/>
  </si>
  <si>
    <t>K_MW_GV_VA</t>
    <phoneticPr fontId="7"/>
  </si>
  <si>
    <t>石油250MW
(タイプ1 #1,2,4)</t>
    <rPh sb="0" eb="2">
      <t>セキユ</t>
    </rPh>
    <phoneticPr fontId="2"/>
  </si>
  <si>
    <t>石油500MW
(タイプ2 #3)</t>
    <rPh sb="0" eb="2">
      <t>セキユ</t>
    </rPh>
    <phoneticPr fontId="2"/>
  </si>
  <si>
    <t>石炭250MW
(タイプ3 #6,7)</t>
    <rPh sb="0" eb="2">
      <t>セキタン</t>
    </rPh>
    <phoneticPr fontId="2"/>
  </si>
  <si>
    <t>石炭500MW
(タイプ4 #8)</t>
    <rPh sb="0" eb="2">
      <t>セキタン</t>
    </rPh>
    <phoneticPr fontId="2"/>
  </si>
  <si>
    <t>石炭700MW
(タイプ6 #9,11)</t>
    <rPh sb="0" eb="2">
      <t>セキタン</t>
    </rPh>
    <phoneticPr fontId="2"/>
  </si>
  <si>
    <t>石炭500MW
(タイプ5 #10)</t>
    <rPh sb="0" eb="2">
      <t>セキタン</t>
    </rPh>
    <phoneticPr fontId="2"/>
  </si>
  <si>
    <t>ＬＮＧ425MW
(タイプ7 #12)</t>
    <phoneticPr fontId="2"/>
  </si>
  <si>
    <t>DELTA_ST</t>
    <phoneticPr fontId="2"/>
  </si>
  <si>
    <t>石油250MW
(#1)</t>
    <rPh sb="0" eb="2">
      <t>セキユ</t>
    </rPh>
    <phoneticPr fontId="2"/>
  </si>
  <si>
    <t>石油250MW
(#2)</t>
    <rPh sb="0" eb="2">
      <t>セキユ</t>
    </rPh>
    <phoneticPr fontId="2"/>
  </si>
  <si>
    <t>石油500MW
(#3)</t>
    <rPh sb="0" eb="2">
      <t>セキユ</t>
    </rPh>
    <phoneticPr fontId="2"/>
  </si>
  <si>
    <t>石油250MW
(#4)</t>
    <rPh sb="0" eb="2">
      <t>セキユ</t>
    </rPh>
    <phoneticPr fontId="2"/>
  </si>
  <si>
    <t>石炭250MW
(#6,7)</t>
    <rPh sb="0" eb="2">
      <t>セキタン</t>
    </rPh>
    <phoneticPr fontId="2"/>
  </si>
  <si>
    <t>石炭500MW
(#8)</t>
    <rPh sb="0" eb="2">
      <t>セキタン</t>
    </rPh>
    <phoneticPr fontId="2"/>
  </si>
  <si>
    <t>石炭500MW
(#10)</t>
    <rPh sb="0" eb="2">
      <t>セキタン</t>
    </rPh>
    <phoneticPr fontId="2"/>
  </si>
  <si>
    <t>ＬＮＧ425MW
(#12)</t>
    <phoneticPr fontId="2"/>
  </si>
  <si>
    <t>石炭700MW
(#9)</t>
    <rPh sb="0" eb="2">
      <t>セキタン</t>
    </rPh>
    <phoneticPr fontId="2"/>
  </si>
  <si>
    <t>石炭700MW
(#11)</t>
    <rPh sb="0" eb="2">
      <t>セキタン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</si>
</sst>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_ "/>
    <numFmt numFmtId="179" formatCode="0_ "/>
    <numFmt numFmtId="180" formatCode="0.000_ "/>
  </numFmts>
  <fonts count="28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0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b/>
      <sz val="10"/>
      <color indexed="1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5422223578601"/>
      </bottom>
      <diagonal/>
    </border>
  </borders>
  <cellStyleXfs count="44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10" borderId="10" applyNumberFormat="0" applyAlignment="0" applyProtection="0">
      <alignment vertical="center"/>
    </xf>
    <xf numFmtId="0" fontId="21" fillId="10" borderId="9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1" borderId="12" applyNumberForma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15" applyNumberFormat="0" applyFill="0" applyAlignment="0" applyProtection="0">
      <alignment vertical="center"/>
    </xf>
    <xf numFmtId="0" fontId="1" fillId="12" borderId="13" applyNumberFormat="0" applyFont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06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76" fontId="3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177" fontId="3" fillId="0" borderId="1" xfId="0" applyNumberFormat="1" applyFont="1" applyFill="1" applyBorder="1" applyAlignment="1">
      <alignment horizontal="left" vertical="center"/>
    </xf>
    <xf numFmtId="178" fontId="3" fillId="0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Fill="1" applyBorder="1" applyAlignment="1">
      <alignment horizontal="center" vertical="center"/>
    </xf>
    <xf numFmtId="180" fontId="5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>
      <alignment vertical="center"/>
    </xf>
    <xf numFmtId="178" fontId="3" fillId="0" borderId="0" xfId="0" applyNumberFormat="1" applyFont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0" fillId="0" borderId="0" xfId="0" applyFill="1">
      <alignment vertical="center"/>
    </xf>
    <xf numFmtId="0" fontId="3" fillId="0" borderId="0" xfId="0" applyFont="1" applyFill="1">
      <alignment vertical="center"/>
    </xf>
    <xf numFmtId="0" fontId="3" fillId="0" borderId="2" xfId="0" applyFont="1" applyFill="1" applyBorder="1" applyAlignment="1">
      <alignment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180" fontId="3" fillId="0" borderId="0" xfId="0" applyNumberFormat="1" applyFont="1" applyBorder="1">
      <alignment vertical="center"/>
    </xf>
    <xf numFmtId="0" fontId="0" fillId="0" borderId="0" xfId="0" applyBorder="1">
      <alignment vertical="center"/>
    </xf>
    <xf numFmtId="178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>
      <alignment horizontal="left" vertical="center"/>
    </xf>
    <xf numFmtId="179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center" vertical="center"/>
    </xf>
    <xf numFmtId="178" fontId="6" fillId="0" borderId="1" xfId="0" applyNumberFormat="1" applyFont="1" applyBorder="1">
      <alignment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9" fillId="0" borderId="0" xfId="0" applyFont="1" applyBorder="1">
      <alignment vertical="center"/>
    </xf>
    <xf numFmtId="178" fontId="11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Border="1">
      <alignment vertical="center"/>
    </xf>
    <xf numFmtId="178" fontId="9" fillId="0" borderId="1" xfId="0" applyNumberFormat="1" applyFont="1" applyBorder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 wrapText="1"/>
    </xf>
    <xf numFmtId="179" fontId="5" fillId="0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178" fontId="5" fillId="0" borderId="0" xfId="0" applyNumberFormat="1" applyFont="1">
      <alignment vertical="center"/>
    </xf>
    <xf numFmtId="180" fontId="3" fillId="3" borderId="1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/>
    </xf>
    <xf numFmtId="178" fontId="11" fillId="0" borderId="0" xfId="0" applyNumberFormat="1" applyFont="1" applyFill="1" applyBorder="1" applyAlignment="1">
      <alignment horizontal="center" vertical="center" wrapText="1"/>
    </xf>
    <xf numFmtId="178" fontId="3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78" fontId="3" fillId="4" borderId="1" xfId="0" applyNumberFormat="1" applyFont="1" applyFill="1" applyBorder="1" applyAlignment="1">
      <alignment horizontal="center" vertical="center"/>
    </xf>
    <xf numFmtId="178" fontId="5" fillId="4" borderId="1" xfId="0" applyNumberFormat="1" applyFont="1" applyFill="1" applyBorder="1" applyAlignment="1">
      <alignment horizontal="center" vertical="center"/>
    </xf>
    <xf numFmtId="179" fontId="3" fillId="5" borderId="1" xfId="0" applyNumberFormat="1" applyFont="1" applyFill="1" applyBorder="1" applyAlignment="1">
      <alignment horizontal="center" vertical="center"/>
    </xf>
    <xf numFmtId="179" fontId="5" fillId="5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>
      <alignment vertical="center"/>
    </xf>
    <xf numFmtId="0" fontId="3" fillId="3" borderId="1" xfId="0" applyFont="1" applyFill="1" applyBorder="1" applyAlignment="1">
      <alignment horizontal="left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7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79" fontId="3" fillId="0" borderId="0" xfId="0" applyNumberFormat="1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left" vertical="center"/>
    </xf>
    <xf numFmtId="177" fontId="3" fillId="0" borderId="0" xfId="0" applyNumberFormat="1" applyFont="1" applyFill="1" applyBorder="1" applyAlignment="1">
      <alignment horizontal="left" vertical="center"/>
    </xf>
    <xf numFmtId="178" fontId="6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>
      <alignment vertical="center"/>
    </xf>
    <xf numFmtId="180" fontId="5" fillId="0" borderId="0" xfId="0" applyNumberFormat="1" applyFont="1" applyFill="1" applyBorder="1" applyAlignment="1">
      <alignment horizontal="center" vertical="center"/>
    </xf>
    <xf numFmtId="180" fontId="3" fillId="0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176" fontId="3" fillId="4" borderId="1" xfId="0" applyNumberFormat="1" applyFont="1" applyFill="1" applyBorder="1" applyAlignment="1">
      <alignment horizontal="left" vertical="center"/>
    </xf>
    <xf numFmtId="179" fontId="3" fillId="4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0" fontId="24" fillId="0" borderId="1" xfId="28" applyFont="1" applyBorder="1">
      <alignment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5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 wrapText="1"/>
    </xf>
    <xf numFmtId="178" fontId="3" fillId="2" borderId="3" xfId="0" applyNumberFormat="1" applyFont="1" applyFill="1" applyBorder="1" applyAlignment="1">
      <alignment horizontal="center" vertical="center" wrapText="1"/>
    </xf>
    <xf numFmtId="178" fontId="3" fillId="2" borderId="5" xfId="0" applyNumberFormat="1" applyFont="1" applyFill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/>
    </xf>
    <xf numFmtId="178" fontId="3" fillId="0" borderId="2" xfId="0" applyNumberFormat="1" applyFont="1" applyBorder="1" applyAlignment="1">
      <alignment horizontal="center" vertical="center"/>
    </xf>
    <xf numFmtId="178" fontId="3" fillId="0" borderId="3" xfId="0" applyNumberFormat="1" applyFont="1" applyBorder="1" applyAlignment="1">
      <alignment horizontal="center" vertical="center"/>
    </xf>
    <xf numFmtId="178" fontId="3" fillId="0" borderId="4" xfId="0" applyNumberFormat="1" applyFont="1" applyBorder="1" applyAlignment="1">
      <alignment horizontal="center" vertical="center"/>
    </xf>
    <xf numFmtId="178" fontId="3" fillId="0" borderId="5" xfId="0" applyNumberFormat="1" applyFont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178" fontId="4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</cellXfs>
  <cellStyles count="44">
    <cellStyle name="20% - アクセント 1 2" xfId="31" xr:uid="{00000000-0005-0000-0000-000000000000}"/>
    <cellStyle name="20% - アクセント 2 2" xfId="33" xr:uid="{00000000-0005-0000-0000-000001000000}"/>
    <cellStyle name="20% - アクセント 3 2" xfId="35" xr:uid="{00000000-0005-0000-0000-000002000000}"/>
    <cellStyle name="20% - アクセント 4 2" xfId="37" xr:uid="{00000000-0005-0000-0000-000003000000}"/>
    <cellStyle name="20% - アクセント 5 2" xfId="39" xr:uid="{00000000-0005-0000-0000-000004000000}"/>
    <cellStyle name="20% - アクセント 6 2" xfId="41" xr:uid="{00000000-0005-0000-0000-000005000000}"/>
    <cellStyle name="40% - アクセント 1 2" xfId="32" xr:uid="{00000000-0005-0000-0000-000006000000}"/>
    <cellStyle name="40% - アクセント 2 2" xfId="34" xr:uid="{00000000-0005-0000-0000-000007000000}"/>
    <cellStyle name="40% - アクセント 3 2" xfId="36" xr:uid="{00000000-0005-0000-0000-000008000000}"/>
    <cellStyle name="40% - アクセント 4 2" xfId="38" xr:uid="{00000000-0005-0000-0000-000009000000}"/>
    <cellStyle name="40% - アクセント 5 2" xfId="40" xr:uid="{00000000-0005-0000-0000-00000A000000}"/>
    <cellStyle name="40% - アクセント 6 2" xfId="42" xr:uid="{00000000-0005-0000-0000-00000B000000}"/>
    <cellStyle name="60% - アクセント 1" xfId="17" builtinId="32" customBuiltin="1"/>
    <cellStyle name="60% - アクセント 2" xfId="19" builtinId="36" customBuiltin="1"/>
    <cellStyle name="60% - アクセント 3" xfId="21" builtinId="40" customBuiltin="1"/>
    <cellStyle name="60% - アクセント 4" xfId="23" builtinId="44" customBuiltin="1"/>
    <cellStyle name="60% - アクセント 5" xfId="25" builtinId="48" customBuiltin="1"/>
    <cellStyle name="60% - アクセント 6" xfId="27" builtinId="52" customBuiltin="1"/>
    <cellStyle name="アクセント 1" xfId="16" builtinId="29" customBuiltin="1"/>
    <cellStyle name="アクセント 2" xfId="18" builtinId="33" customBuiltin="1"/>
    <cellStyle name="アクセント 3" xfId="20" builtinId="37" customBuiltin="1"/>
    <cellStyle name="アクセント 4" xfId="22" builtinId="41" customBuiltin="1"/>
    <cellStyle name="アクセント 5" xfId="24" builtinId="45" customBuiltin="1"/>
    <cellStyle name="アクセント 6" xfId="26" builtinId="49" customBuiltin="1"/>
    <cellStyle name="タイトル" xfId="1" builtinId="15" customBuiltin="1"/>
    <cellStyle name="チェック セル" xfId="12" builtinId="23" customBuiltin="1"/>
    <cellStyle name="どちらでもない" xfId="7" builtinId="28" customBuiltin="1"/>
    <cellStyle name="メモ 2" xfId="30" xr:uid="{00000000-0005-0000-0000-00001B000000}"/>
    <cellStyle name="リンク セル" xfId="11" builtinId="24" customBuiltin="1"/>
    <cellStyle name="悪い" xfId="6" builtinId="27" customBuiltin="1"/>
    <cellStyle name="計算" xfId="10" builtinId="22" customBuiltin="1"/>
    <cellStyle name="警告文" xfId="13" builtinId="11" customBuiltin="1"/>
    <cellStyle name="見出し 1" xfId="2" builtinId="16" customBuiltin="1"/>
    <cellStyle name="見出し 2 2" xfId="29" xr:uid="{00000000-0005-0000-0000-000021000000}"/>
    <cellStyle name="見出し 3" xfId="3" builtinId="18" customBuiltin="1"/>
    <cellStyle name="見出し 4" xfId="4" builtinId="19" customBuiltin="1"/>
    <cellStyle name="集計" xfId="15" builtinId="25" customBuiltin="1"/>
    <cellStyle name="出力" xfId="9" builtinId="21" customBuiltin="1"/>
    <cellStyle name="説明文" xfId="14" builtinId="53" customBuiltin="1"/>
    <cellStyle name="入力" xfId="8" builtinId="20" customBuiltin="1"/>
    <cellStyle name="標準" xfId="0" builtinId="0"/>
    <cellStyle name="標準 2" xfId="43" xr:uid="{00000000-0005-0000-0000-000029000000}"/>
    <cellStyle name="標準 3" xfId="28" xr:uid="{00000000-0005-0000-0000-00002A000000}"/>
    <cellStyle name="良い" xfId="5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opLeftCell="A9" workbookViewId="0">
      <selection activeCell="A25" sqref="A25"/>
    </sheetView>
  </sheetViews>
  <sheetFormatPr defaultRowHeight="13.5" x14ac:dyDescent="0.15"/>
  <cols>
    <col min="1" max="2" width="18.5" customWidth="1"/>
  </cols>
  <sheetData>
    <row r="1" spans="1:2" x14ac:dyDescent="0.15">
      <c r="A1" s="89" t="s">
        <v>205</v>
      </c>
      <c r="B1" s="89"/>
    </row>
    <row r="2" spans="1:2" ht="35.25" customHeight="1" x14ac:dyDescent="0.15">
      <c r="A2" s="87" t="s">
        <v>202</v>
      </c>
      <c r="B2" s="88"/>
    </row>
    <row r="3" spans="1:2" x14ac:dyDescent="0.15">
      <c r="A3" s="38" t="s">
        <v>195</v>
      </c>
      <c r="B3" s="38" t="s">
        <v>196</v>
      </c>
    </row>
    <row r="4" spans="1:2" x14ac:dyDescent="0.15">
      <c r="A4" s="42">
        <v>-1</v>
      </c>
      <c r="B4" s="43">
        <v>-1.05</v>
      </c>
    </row>
    <row r="5" spans="1:2" x14ac:dyDescent="0.15">
      <c r="A5" s="42">
        <v>-0.75</v>
      </c>
      <c r="B5" s="43">
        <v>-0.95</v>
      </c>
    </row>
    <row r="6" spans="1:2" x14ac:dyDescent="0.15">
      <c r="A6" s="39"/>
      <c r="B6" s="40"/>
    </row>
    <row r="7" spans="1:2" x14ac:dyDescent="0.15">
      <c r="A7" s="39"/>
      <c r="B7" s="40"/>
    </row>
    <row r="8" spans="1:2" x14ac:dyDescent="0.15">
      <c r="A8" s="39"/>
      <c r="B8" s="40"/>
    </row>
    <row r="9" spans="1:2" x14ac:dyDescent="0.15">
      <c r="A9" s="39"/>
      <c r="B9" s="40"/>
    </row>
    <row r="11" spans="1:2" x14ac:dyDescent="0.15">
      <c r="A11" s="89" t="s">
        <v>205</v>
      </c>
      <c r="B11" s="89"/>
    </row>
    <row r="12" spans="1:2" ht="35.25" customHeight="1" x14ac:dyDescent="0.15">
      <c r="A12" s="87" t="s">
        <v>203</v>
      </c>
      <c r="B12" s="88"/>
    </row>
    <row r="13" spans="1:2" x14ac:dyDescent="0.15">
      <c r="A13" s="38" t="s">
        <v>195</v>
      </c>
      <c r="B13" s="38" t="s">
        <v>198</v>
      </c>
    </row>
    <row r="14" spans="1:2" x14ac:dyDescent="0.15">
      <c r="A14" s="42">
        <v>-1</v>
      </c>
      <c r="B14" s="43">
        <v>0.8</v>
      </c>
    </row>
    <row r="15" spans="1:2" x14ac:dyDescent="0.15">
      <c r="A15" s="42">
        <v>-0.75</v>
      </c>
      <c r="B15" s="43">
        <v>0.6</v>
      </c>
    </row>
    <row r="16" spans="1:2" x14ac:dyDescent="0.15">
      <c r="A16" s="39"/>
      <c r="B16" s="40"/>
    </row>
    <row r="17" spans="1:2" x14ac:dyDescent="0.15">
      <c r="A17" s="39"/>
      <c r="B17" s="40"/>
    </row>
    <row r="18" spans="1:2" x14ac:dyDescent="0.15">
      <c r="A18" s="39"/>
      <c r="B18" s="40"/>
    </row>
    <row r="21" spans="1:2" x14ac:dyDescent="0.15">
      <c r="A21" s="89" t="s">
        <v>205</v>
      </c>
      <c r="B21" s="89"/>
    </row>
    <row r="22" spans="1:2" ht="35.25" customHeight="1" x14ac:dyDescent="0.15">
      <c r="A22" s="87" t="s">
        <v>204</v>
      </c>
      <c r="B22" s="88"/>
    </row>
    <row r="23" spans="1:2" x14ac:dyDescent="0.15">
      <c r="A23" s="38" t="s">
        <v>196</v>
      </c>
      <c r="B23" s="38" t="s">
        <v>201</v>
      </c>
    </row>
    <row r="24" spans="1:2" x14ac:dyDescent="0.15">
      <c r="A24" s="43">
        <v>-1.05</v>
      </c>
      <c r="B24" s="42">
        <v>-1</v>
      </c>
    </row>
    <row r="25" spans="1:2" x14ac:dyDescent="0.15">
      <c r="A25" s="43">
        <v>-0.95</v>
      </c>
      <c r="B25" s="42">
        <v>-0.75</v>
      </c>
    </row>
  </sheetData>
  <mergeCells count="6">
    <mergeCell ref="A22:B22"/>
    <mergeCell ref="A1:B1"/>
    <mergeCell ref="A2:B2"/>
    <mergeCell ref="A11:B11"/>
    <mergeCell ref="A12:B12"/>
    <mergeCell ref="A21:B21"/>
  </mergeCells>
  <phoneticPr fontId="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topLeftCell="A9" workbookViewId="0">
      <selection activeCell="G17" sqref="G17"/>
    </sheetView>
  </sheetViews>
  <sheetFormatPr defaultRowHeight="13.5" x14ac:dyDescent="0.15"/>
  <cols>
    <col min="1" max="2" width="18.5" customWidth="1"/>
  </cols>
  <sheetData>
    <row r="1" spans="1:2" x14ac:dyDescent="0.15">
      <c r="A1" s="89" t="s">
        <v>205</v>
      </c>
      <c r="B1" s="89"/>
    </row>
    <row r="2" spans="1:2" ht="35.25" customHeight="1" x14ac:dyDescent="0.15">
      <c r="A2" s="87" t="s">
        <v>194</v>
      </c>
      <c r="B2" s="88"/>
    </row>
    <row r="3" spans="1:2" x14ac:dyDescent="0.15">
      <c r="A3" s="38" t="s">
        <v>195</v>
      </c>
      <c r="B3" s="38" t="s">
        <v>196</v>
      </c>
    </row>
    <row r="4" spans="1:2" x14ac:dyDescent="0.15">
      <c r="A4" s="42">
        <v>0.3</v>
      </c>
      <c r="B4" s="43">
        <v>0.96</v>
      </c>
    </row>
    <row r="5" spans="1:2" x14ac:dyDescent="0.15">
      <c r="A5" s="42">
        <v>1</v>
      </c>
      <c r="B5" s="43">
        <v>0.98</v>
      </c>
    </row>
    <row r="6" spans="1:2" x14ac:dyDescent="0.15">
      <c r="A6" s="42"/>
      <c r="B6" s="43"/>
    </row>
    <row r="7" spans="1:2" x14ac:dyDescent="0.15">
      <c r="A7" s="39"/>
      <c r="B7" s="40"/>
    </row>
    <row r="8" spans="1:2" x14ac:dyDescent="0.15">
      <c r="A8" s="39"/>
      <c r="B8" s="40"/>
    </row>
    <row r="11" spans="1:2" x14ac:dyDescent="0.15">
      <c r="A11" s="89" t="s">
        <v>205</v>
      </c>
      <c r="B11" s="89"/>
    </row>
    <row r="12" spans="1:2" ht="35.25" customHeight="1" x14ac:dyDescent="0.15">
      <c r="A12" s="87" t="s">
        <v>197</v>
      </c>
      <c r="B12" s="88"/>
    </row>
    <row r="13" spans="1:2" x14ac:dyDescent="0.15">
      <c r="A13" s="38" t="s">
        <v>195</v>
      </c>
      <c r="B13" s="38" t="s">
        <v>198</v>
      </c>
    </row>
    <row r="14" spans="1:2" x14ac:dyDescent="0.15">
      <c r="A14" s="42">
        <v>0.3</v>
      </c>
      <c r="B14" s="43">
        <v>0.24</v>
      </c>
    </row>
    <row r="15" spans="1:2" x14ac:dyDescent="0.15">
      <c r="A15" s="42">
        <v>1</v>
      </c>
      <c r="B15" s="43">
        <v>0.8</v>
      </c>
    </row>
    <row r="16" spans="1:2" x14ac:dyDescent="0.15">
      <c r="A16" s="39"/>
      <c r="B16" s="40"/>
    </row>
    <row r="17" spans="1:2" x14ac:dyDescent="0.15">
      <c r="A17" s="39"/>
      <c r="B17" s="40"/>
    </row>
    <row r="18" spans="1:2" x14ac:dyDescent="0.15">
      <c r="A18" s="39"/>
      <c r="B18" s="40"/>
    </row>
    <row r="21" spans="1:2" x14ac:dyDescent="0.15">
      <c r="A21" s="89" t="s">
        <v>205</v>
      </c>
      <c r="B21" s="89"/>
    </row>
    <row r="22" spans="1:2" ht="35.25" customHeight="1" x14ac:dyDescent="0.15">
      <c r="A22" s="87" t="s">
        <v>199</v>
      </c>
      <c r="B22" s="88"/>
    </row>
    <row r="23" spans="1:2" x14ac:dyDescent="0.15">
      <c r="A23" s="38" t="s">
        <v>200</v>
      </c>
      <c r="B23" s="38" t="s">
        <v>201</v>
      </c>
    </row>
    <row r="24" spans="1:2" x14ac:dyDescent="0.15">
      <c r="A24" s="43">
        <v>0</v>
      </c>
      <c r="B24" s="43">
        <v>0</v>
      </c>
    </row>
    <row r="25" spans="1:2" x14ac:dyDescent="0.15">
      <c r="A25" s="43">
        <v>0.8</v>
      </c>
      <c r="B25" s="43">
        <v>1</v>
      </c>
    </row>
  </sheetData>
  <mergeCells count="6">
    <mergeCell ref="A22:B22"/>
    <mergeCell ref="A1:B1"/>
    <mergeCell ref="A2:B2"/>
    <mergeCell ref="A11:B11"/>
    <mergeCell ref="A12:B12"/>
    <mergeCell ref="A21:B21"/>
  </mergeCells>
  <phoneticPr fontId="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workbookViewId="0">
      <selection activeCell="C5" sqref="C5"/>
    </sheetView>
  </sheetViews>
  <sheetFormatPr defaultRowHeight="13.5" x14ac:dyDescent="0.15"/>
  <cols>
    <col min="1" max="1" width="18.625" style="18" customWidth="1"/>
    <col min="2" max="2" width="28" style="18" customWidth="1"/>
  </cols>
  <sheetData>
    <row r="1" spans="1:3" x14ac:dyDescent="0.15">
      <c r="A1" s="7" t="s">
        <v>1</v>
      </c>
      <c r="B1" s="7" t="s">
        <v>2</v>
      </c>
      <c r="C1" s="7" t="s">
        <v>65</v>
      </c>
    </row>
    <row r="2" spans="1:3" x14ac:dyDescent="0.15">
      <c r="A2" s="31" t="s">
        <v>168</v>
      </c>
      <c r="B2" s="32" t="s">
        <v>3</v>
      </c>
      <c r="C2" s="33">
        <v>120</v>
      </c>
    </row>
    <row r="3" spans="1:3" x14ac:dyDescent="0.15">
      <c r="A3" s="31" t="s">
        <v>214</v>
      </c>
      <c r="B3" s="32" t="s">
        <v>169</v>
      </c>
      <c r="C3" s="37">
        <v>1</v>
      </c>
    </row>
    <row r="4" spans="1:3" x14ac:dyDescent="0.15">
      <c r="A4" s="31" t="s">
        <v>170</v>
      </c>
      <c r="B4" s="32" t="s">
        <v>171</v>
      </c>
      <c r="C4" s="37">
        <v>0.3</v>
      </c>
    </row>
    <row r="5" spans="1:3" x14ac:dyDescent="0.15">
      <c r="A5" s="31" t="s">
        <v>215</v>
      </c>
      <c r="B5" s="32" t="s">
        <v>172</v>
      </c>
      <c r="C5" s="37">
        <v>-0.75</v>
      </c>
    </row>
    <row r="6" spans="1:3" x14ac:dyDescent="0.15">
      <c r="A6" s="31" t="s">
        <v>173</v>
      </c>
      <c r="B6" s="32" t="s">
        <v>174</v>
      </c>
      <c r="C6" s="37">
        <v>-1</v>
      </c>
    </row>
    <row r="7" spans="1:3" x14ac:dyDescent="0.15">
      <c r="A7" s="31" t="s">
        <v>175</v>
      </c>
      <c r="B7" s="31" t="s">
        <v>176</v>
      </c>
      <c r="C7" s="35">
        <v>1.67E-2</v>
      </c>
    </row>
    <row r="8" spans="1:3" x14ac:dyDescent="0.15">
      <c r="A8" s="31" t="s">
        <v>177</v>
      </c>
      <c r="B8" s="31" t="s">
        <v>178</v>
      </c>
      <c r="C8" s="35">
        <v>1.67E-2</v>
      </c>
    </row>
    <row r="9" spans="1:3" x14ac:dyDescent="0.15">
      <c r="A9" s="31" t="s">
        <v>179</v>
      </c>
      <c r="B9" s="34" t="s">
        <v>137</v>
      </c>
      <c r="C9" s="35">
        <v>0.04</v>
      </c>
    </row>
    <row r="10" spans="1:3" s="29" customFormat="1" x14ac:dyDescent="0.15">
      <c r="A10" s="31" t="s">
        <v>180</v>
      </c>
      <c r="B10" s="34" t="s">
        <v>138</v>
      </c>
      <c r="C10" s="35">
        <v>15</v>
      </c>
    </row>
    <row r="11" spans="1:3" s="29" customFormat="1" x14ac:dyDescent="0.15">
      <c r="A11" s="31" t="s">
        <v>181</v>
      </c>
      <c r="B11" s="34" t="s">
        <v>167</v>
      </c>
      <c r="C11" s="35">
        <v>10</v>
      </c>
    </row>
    <row r="12" spans="1:3" s="29" customFormat="1" x14ac:dyDescent="0.15">
      <c r="A12" s="31" t="s">
        <v>182</v>
      </c>
      <c r="B12" s="34" t="s">
        <v>139</v>
      </c>
      <c r="C12" s="35">
        <v>0</v>
      </c>
    </row>
    <row r="13" spans="1:3" x14ac:dyDescent="0.15">
      <c r="A13" s="31" t="s">
        <v>183</v>
      </c>
      <c r="B13" s="34" t="s">
        <v>140</v>
      </c>
      <c r="C13" s="35">
        <v>2</v>
      </c>
    </row>
    <row r="14" spans="1:3" x14ac:dyDescent="0.15">
      <c r="A14" s="31" t="s">
        <v>184</v>
      </c>
      <c r="B14" s="31" t="s">
        <v>151</v>
      </c>
      <c r="C14" s="35">
        <v>1</v>
      </c>
    </row>
    <row r="15" spans="1:3" x14ac:dyDescent="0.15">
      <c r="A15" s="31" t="s">
        <v>185</v>
      </c>
      <c r="B15" s="31" t="s">
        <v>141</v>
      </c>
      <c r="C15" s="35">
        <v>0.36699999999999999</v>
      </c>
    </row>
    <row r="16" spans="1:3" x14ac:dyDescent="0.15">
      <c r="A16" s="31" t="s">
        <v>186</v>
      </c>
      <c r="B16" s="31" t="s">
        <v>152</v>
      </c>
      <c r="C16" s="35">
        <v>1</v>
      </c>
    </row>
    <row r="17" spans="1:3" x14ac:dyDescent="0.15">
      <c r="A17" s="31" t="s">
        <v>187</v>
      </c>
      <c r="B17" s="31" t="s">
        <v>142</v>
      </c>
      <c r="C17" s="35">
        <v>0.19800000000000001</v>
      </c>
    </row>
    <row r="18" spans="1:3" x14ac:dyDescent="0.15">
      <c r="A18" s="31" t="s">
        <v>188</v>
      </c>
      <c r="B18" s="34" t="s">
        <v>189</v>
      </c>
      <c r="C18" s="35">
        <v>0</v>
      </c>
    </row>
    <row r="19" spans="1:3" x14ac:dyDescent="0.15">
      <c r="A19" s="31" t="s">
        <v>226</v>
      </c>
      <c r="B19" s="31" t="s">
        <v>225</v>
      </c>
      <c r="C19" s="35">
        <v>1.25</v>
      </c>
    </row>
    <row r="20" spans="1:3" x14ac:dyDescent="0.15">
      <c r="A20" s="31" t="s">
        <v>190</v>
      </c>
      <c r="B20" s="31" t="s">
        <v>145</v>
      </c>
      <c r="C20" s="35">
        <v>1.9590000000000001</v>
      </c>
    </row>
    <row r="21" spans="1:3" x14ac:dyDescent="0.15">
      <c r="A21" s="31" t="s">
        <v>191</v>
      </c>
      <c r="B21" s="31" t="s">
        <v>192</v>
      </c>
      <c r="C21" s="35">
        <v>10.026</v>
      </c>
    </row>
    <row r="22" spans="1:3" x14ac:dyDescent="0.15">
      <c r="A22" s="31" t="s">
        <v>216</v>
      </c>
      <c r="B22" s="31" t="s">
        <v>193</v>
      </c>
      <c r="C22" s="35">
        <v>1</v>
      </c>
    </row>
    <row r="23" spans="1:3" x14ac:dyDescent="0.15">
      <c r="A23" s="31" t="s">
        <v>217</v>
      </c>
      <c r="B23" s="31" t="s">
        <v>206</v>
      </c>
      <c r="C23" s="35">
        <v>2</v>
      </c>
    </row>
    <row r="24" spans="1:3" x14ac:dyDescent="0.15">
      <c r="A24" s="31" t="s">
        <v>218</v>
      </c>
      <c r="B24" s="34" t="s">
        <v>207</v>
      </c>
      <c r="C24" s="35">
        <v>0.1</v>
      </c>
    </row>
    <row r="25" spans="1:3" x14ac:dyDescent="0.15">
      <c r="A25" s="31" t="s">
        <v>219</v>
      </c>
      <c r="B25" s="31" t="s">
        <v>208</v>
      </c>
      <c r="C25" s="35">
        <v>0</v>
      </c>
    </row>
    <row r="26" spans="1:3" x14ac:dyDescent="0.15">
      <c r="A26" s="31" t="s">
        <v>220</v>
      </c>
      <c r="B26" s="31" t="s">
        <v>209</v>
      </c>
      <c r="C26" s="35">
        <v>0.1</v>
      </c>
    </row>
    <row r="27" spans="1:3" x14ac:dyDescent="0.15">
      <c r="A27" s="31" t="s">
        <v>221</v>
      </c>
      <c r="B27" s="31" t="s">
        <v>210</v>
      </c>
      <c r="C27" s="35">
        <v>0</v>
      </c>
    </row>
    <row r="28" spans="1:3" x14ac:dyDescent="0.15">
      <c r="A28" s="31" t="s">
        <v>222</v>
      </c>
      <c r="B28" s="34" t="s">
        <v>211</v>
      </c>
      <c r="C28" s="35">
        <v>0</v>
      </c>
    </row>
    <row r="29" spans="1:3" x14ac:dyDescent="0.15">
      <c r="A29" s="31" t="s">
        <v>223</v>
      </c>
      <c r="B29" s="31" t="s">
        <v>212</v>
      </c>
      <c r="C29" s="35">
        <v>0</v>
      </c>
    </row>
    <row r="30" spans="1:3" x14ac:dyDescent="0.15">
      <c r="A30" s="31" t="s">
        <v>224</v>
      </c>
      <c r="B30" s="31" t="s">
        <v>213</v>
      </c>
      <c r="C30" s="35">
        <v>0.1</v>
      </c>
    </row>
  </sheetData>
  <phoneticPr fontId="7"/>
  <pageMargins left="0.7" right="0.7" top="0.75" bottom="0.75" header="0.3" footer="0.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1"/>
  <sheetViews>
    <sheetView tabSelected="1" workbookViewId="0">
      <selection activeCell="E6" sqref="E6"/>
    </sheetView>
  </sheetViews>
  <sheetFormatPr defaultRowHeight="12" x14ac:dyDescent="0.15"/>
  <cols>
    <col min="1" max="1" width="9" style="9"/>
    <col min="2" max="2" width="25.75" style="9" bestFit="1" customWidth="1"/>
    <col min="3" max="3" width="10.625" style="18" customWidth="1"/>
    <col min="4" max="4" width="10.625" style="50" customWidth="1"/>
    <col min="5" max="7" width="10.625" style="18" customWidth="1"/>
    <col min="8" max="9" width="6.75" style="18" bestFit="1" customWidth="1"/>
    <col min="10" max="11" width="6.75" style="9" bestFit="1" customWidth="1"/>
    <col min="12" max="16384" width="9" style="9"/>
  </cols>
  <sheetData>
    <row r="1" spans="1:12" ht="36" x14ac:dyDescent="0.15">
      <c r="A1" s="8" t="s">
        <v>1</v>
      </c>
      <c r="B1" s="7" t="s">
        <v>2</v>
      </c>
      <c r="C1" s="26" t="s">
        <v>235</v>
      </c>
      <c r="D1" s="56" t="s">
        <v>236</v>
      </c>
      <c r="E1" s="46" t="s">
        <v>237</v>
      </c>
      <c r="F1" s="56" t="s">
        <v>238</v>
      </c>
      <c r="G1" s="26" t="s">
        <v>239</v>
      </c>
      <c r="H1" s="26" t="s">
        <v>240</v>
      </c>
      <c r="I1" s="26" t="s">
        <v>241</v>
      </c>
      <c r="J1" s="26" t="s">
        <v>243</v>
      </c>
      <c r="K1" s="66" t="s">
        <v>244</v>
      </c>
      <c r="L1" s="26" t="s">
        <v>242</v>
      </c>
    </row>
    <row r="2" spans="1:12" x14ac:dyDescent="0.15">
      <c r="A2" s="2" t="s">
        <v>68</v>
      </c>
      <c r="B2" s="10" t="s">
        <v>3</v>
      </c>
      <c r="C2" s="14">
        <v>250</v>
      </c>
      <c r="D2" s="14">
        <v>250</v>
      </c>
      <c r="E2" s="47">
        <v>500</v>
      </c>
      <c r="F2" s="14">
        <v>250</v>
      </c>
      <c r="G2" s="14">
        <v>250</v>
      </c>
      <c r="H2" s="14">
        <v>500</v>
      </c>
      <c r="I2" s="14">
        <v>500</v>
      </c>
      <c r="J2" s="14">
        <v>700</v>
      </c>
      <c r="K2" s="14">
        <v>700</v>
      </c>
      <c r="L2" s="14">
        <v>424.7</v>
      </c>
    </row>
    <row r="3" spans="1:12" x14ac:dyDescent="0.15">
      <c r="A3" s="2" t="s">
        <v>69</v>
      </c>
      <c r="B3" s="10" t="s">
        <v>33</v>
      </c>
      <c r="C3" s="13">
        <v>1</v>
      </c>
      <c r="D3" s="13">
        <v>1</v>
      </c>
      <c r="E3" s="48">
        <v>1</v>
      </c>
      <c r="F3" s="13">
        <v>1</v>
      </c>
      <c r="G3" s="13">
        <v>1</v>
      </c>
      <c r="H3" s="13">
        <v>1</v>
      </c>
      <c r="I3" s="13">
        <v>1</v>
      </c>
      <c r="J3" s="13">
        <v>1</v>
      </c>
      <c r="K3" s="13">
        <v>1</v>
      </c>
      <c r="L3" s="13">
        <v>1</v>
      </c>
    </row>
    <row r="4" spans="1:12" x14ac:dyDescent="0.15">
      <c r="A4" s="64" t="s">
        <v>70</v>
      </c>
      <c r="B4" s="65" t="s">
        <v>34</v>
      </c>
      <c r="C4" s="54">
        <v>0.16</v>
      </c>
      <c r="D4" s="54">
        <v>0.3</v>
      </c>
      <c r="E4" s="55">
        <v>0.15</v>
      </c>
      <c r="F4" s="54">
        <v>0.14000000000000001</v>
      </c>
      <c r="G4" s="54">
        <v>0.24</v>
      </c>
      <c r="H4" s="54">
        <v>0.2</v>
      </c>
      <c r="I4" s="54">
        <v>0.2</v>
      </c>
      <c r="J4" s="54">
        <v>0.2</v>
      </c>
      <c r="K4" s="54">
        <v>0.2</v>
      </c>
      <c r="L4" s="54">
        <v>0.42</v>
      </c>
    </row>
    <row r="5" spans="1:12" x14ac:dyDescent="0.15">
      <c r="A5" s="64" t="s">
        <v>71</v>
      </c>
      <c r="B5" s="65" t="s">
        <v>45</v>
      </c>
      <c r="C5" s="51">
        <v>1.2E-2</v>
      </c>
      <c r="D5" s="51">
        <v>1.2E-2</v>
      </c>
      <c r="E5" s="52">
        <f>0.025</f>
        <v>2.5000000000000001E-2</v>
      </c>
      <c r="F5" s="51">
        <v>1.2E-2</v>
      </c>
      <c r="G5" s="51">
        <v>0.02</v>
      </c>
      <c r="H5" s="51">
        <v>0.03</v>
      </c>
      <c r="I5" s="51">
        <v>0.02</v>
      </c>
      <c r="J5" s="51">
        <v>0.04</v>
      </c>
      <c r="K5" s="51">
        <v>0.04</v>
      </c>
      <c r="L5" s="51">
        <v>4.7E-2</v>
      </c>
    </row>
    <row r="6" spans="1:12" x14ac:dyDescent="0.15">
      <c r="A6" s="2" t="s">
        <v>72</v>
      </c>
      <c r="B6" s="10" t="s">
        <v>35</v>
      </c>
      <c r="C6" s="62">
        <v>120</v>
      </c>
      <c r="D6" s="62">
        <v>120</v>
      </c>
      <c r="E6" s="63">
        <v>120</v>
      </c>
      <c r="F6" s="62">
        <v>120</v>
      </c>
      <c r="G6" s="62">
        <v>240</v>
      </c>
      <c r="H6" s="62">
        <v>240</v>
      </c>
      <c r="I6" s="62">
        <v>240</v>
      </c>
      <c r="J6" s="62">
        <v>240</v>
      </c>
      <c r="K6" s="62">
        <v>240</v>
      </c>
      <c r="L6" s="62">
        <v>120</v>
      </c>
    </row>
    <row r="7" spans="1:12" x14ac:dyDescent="0.15">
      <c r="A7" s="2" t="s">
        <v>73</v>
      </c>
      <c r="B7" s="10" t="s">
        <v>36</v>
      </c>
      <c r="C7" s="62">
        <v>60</v>
      </c>
      <c r="D7" s="62">
        <v>60</v>
      </c>
      <c r="E7" s="63">
        <v>20</v>
      </c>
      <c r="F7" s="62">
        <v>60</v>
      </c>
      <c r="G7" s="62">
        <v>20</v>
      </c>
      <c r="H7" s="62">
        <v>20</v>
      </c>
      <c r="I7" s="62">
        <v>20</v>
      </c>
      <c r="J7" s="62">
        <v>20</v>
      </c>
      <c r="K7" s="62">
        <v>20</v>
      </c>
      <c r="L7" s="62">
        <v>20</v>
      </c>
    </row>
    <row r="8" spans="1:12" x14ac:dyDescent="0.15">
      <c r="A8" s="2" t="s">
        <v>74</v>
      </c>
      <c r="B8" s="11" t="s">
        <v>37</v>
      </c>
      <c r="C8" s="62">
        <v>150</v>
      </c>
      <c r="D8" s="62">
        <v>150</v>
      </c>
      <c r="E8" s="63">
        <v>90</v>
      </c>
      <c r="F8" s="62">
        <v>150</v>
      </c>
      <c r="G8" s="62">
        <v>150</v>
      </c>
      <c r="H8" s="62">
        <v>150</v>
      </c>
      <c r="I8" s="62">
        <v>150</v>
      </c>
      <c r="J8" s="62">
        <v>150</v>
      </c>
      <c r="K8" s="62">
        <v>150</v>
      </c>
      <c r="L8" s="62">
        <v>90</v>
      </c>
    </row>
    <row r="9" spans="1:12" x14ac:dyDescent="0.15">
      <c r="A9" s="59" t="s">
        <v>75</v>
      </c>
      <c r="B9" s="81" t="s">
        <v>38</v>
      </c>
      <c r="C9" s="82">
        <v>60</v>
      </c>
      <c r="D9" s="82">
        <f>$C$9</f>
        <v>60</v>
      </c>
      <c r="E9" s="82">
        <f t="shared" ref="E9:L9" si="0">$C$9</f>
        <v>60</v>
      </c>
      <c r="F9" s="82">
        <f t="shared" si="0"/>
        <v>60</v>
      </c>
      <c r="G9" s="82">
        <f t="shared" si="0"/>
        <v>60</v>
      </c>
      <c r="H9" s="82">
        <v>20</v>
      </c>
      <c r="I9" s="82">
        <v>20</v>
      </c>
      <c r="J9" s="82">
        <v>20</v>
      </c>
      <c r="K9" s="82">
        <v>20</v>
      </c>
      <c r="L9" s="82">
        <f t="shared" si="0"/>
        <v>60</v>
      </c>
    </row>
    <row r="10" spans="1:12" x14ac:dyDescent="0.15">
      <c r="A10" s="2" t="s">
        <v>76</v>
      </c>
      <c r="B10" s="11" t="s">
        <v>58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1</v>
      </c>
      <c r="I10" s="62">
        <v>1</v>
      </c>
      <c r="J10" s="62">
        <v>1</v>
      </c>
      <c r="K10" s="62">
        <v>1</v>
      </c>
      <c r="L10" s="62">
        <v>0</v>
      </c>
    </row>
    <row r="11" spans="1:12" x14ac:dyDescent="0.15">
      <c r="A11" s="2" t="s">
        <v>77</v>
      </c>
      <c r="B11" s="11" t="s">
        <v>32</v>
      </c>
      <c r="C11" s="13">
        <v>0.5</v>
      </c>
      <c r="D11" s="13">
        <v>0.5</v>
      </c>
      <c r="E11" s="48">
        <v>0.5</v>
      </c>
      <c r="F11" s="13">
        <v>0.5</v>
      </c>
      <c r="G11" s="13">
        <v>0.5</v>
      </c>
      <c r="H11" s="13">
        <v>0.5</v>
      </c>
      <c r="I11" s="13">
        <v>0.5</v>
      </c>
      <c r="J11" s="13">
        <v>0.5</v>
      </c>
      <c r="K11" s="13">
        <v>0.5</v>
      </c>
      <c r="L11" s="13">
        <v>0.5</v>
      </c>
    </row>
    <row r="12" spans="1:12" x14ac:dyDescent="0.15">
      <c r="A12" s="2" t="s">
        <v>78</v>
      </c>
      <c r="B12" s="10" t="s">
        <v>39</v>
      </c>
      <c r="C12" s="14">
        <v>30</v>
      </c>
      <c r="D12" s="14">
        <v>30</v>
      </c>
      <c r="E12" s="47">
        <v>30</v>
      </c>
      <c r="F12" s="14">
        <v>30</v>
      </c>
      <c r="G12" s="14">
        <v>30</v>
      </c>
      <c r="H12" s="14">
        <v>60</v>
      </c>
      <c r="I12" s="14">
        <v>60</v>
      </c>
      <c r="J12" s="14">
        <v>60</v>
      </c>
      <c r="K12" s="14">
        <v>60</v>
      </c>
      <c r="L12" s="14">
        <v>30</v>
      </c>
    </row>
    <row r="13" spans="1:12" x14ac:dyDescent="0.15">
      <c r="A13" s="2" t="s">
        <v>79</v>
      </c>
      <c r="B13" s="11" t="s">
        <v>40</v>
      </c>
      <c r="C13" s="13">
        <v>1.2</v>
      </c>
      <c r="D13" s="13">
        <v>1.2</v>
      </c>
      <c r="E13" s="48">
        <v>1.2</v>
      </c>
      <c r="F13" s="13">
        <v>1.2</v>
      </c>
      <c r="G13" s="13">
        <v>1.2</v>
      </c>
      <c r="H13" s="13">
        <v>1.2</v>
      </c>
      <c r="I13" s="13">
        <v>1.2</v>
      </c>
      <c r="J13" s="13">
        <v>1.2</v>
      </c>
      <c r="K13" s="13">
        <v>1.2</v>
      </c>
      <c r="L13" s="13">
        <v>1.2</v>
      </c>
    </row>
    <row r="14" spans="1:12" x14ac:dyDescent="0.15">
      <c r="A14" s="2" t="s">
        <v>80</v>
      </c>
      <c r="B14" s="12" t="s">
        <v>41</v>
      </c>
      <c r="C14" s="13">
        <v>0</v>
      </c>
      <c r="D14" s="13">
        <v>0</v>
      </c>
      <c r="E14" s="48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</row>
    <row r="15" spans="1:12" x14ac:dyDescent="0.15">
      <c r="A15" s="2" t="s">
        <v>81</v>
      </c>
      <c r="B15" s="10" t="s">
        <v>42</v>
      </c>
      <c r="C15" s="13">
        <v>0.05</v>
      </c>
      <c r="D15" s="13">
        <v>0.05</v>
      </c>
      <c r="E15" s="48">
        <v>0.05</v>
      </c>
      <c r="F15" s="13">
        <v>0.05</v>
      </c>
      <c r="G15" s="13">
        <v>0.05</v>
      </c>
      <c r="H15" s="13">
        <v>0.05</v>
      </c>
      <c r="I15" s="13">
        <v>0.05</v>
      </c>
      <c r="J15" s="13">
        <v>0.05</v>
      </c>
      <c r="K15" s="13">
        <v>0.05</v>
      </c>
      <c r="L15" s="13">
        <v>0.05</v>
      </c>
    </row>
    <row r="16" spans="1:12" x14ac:dyDescent="0.15">
      <c r="A16" s="2" t="s">
        <v>82</v>
      </c>
      <c r="B16" s="10" t="s">
        <v>43</v>
      </c>
      <c r="C16" s="30">
        <v>1.05</v>
      </c>
      <c r="D16" s="30">
        <v>1.05</v>
      </c>
      <c r="E16" s="41">
        <v>1.05</v>
      </c>
      <c r="F16" s="30">
        <v>1.05</v>
      </c>
      <c r="G16" s="30">
        <v>1.05</v>
      </c>
      <c r="H16" s="30">
        <v>1.05</v>
      </c>
      <c r="I16" s="30">
        <v>1.05</v>
      </c>
      <c r="J16" s="30">
        <v>1.05</v>
      </c>
      <c r="K16" s="30">
        <v>1.05</v>
      </c>
      <c r="L16" s="30">
        <v>1.05</v>
      </c>
    </row>
    <row r="17" spans="1:12" x14ac:dyDescent="0.15">
      <c r="A17" s="2" t="s">
        <v>83</v>
      </c>
      <c r="B17" s="2" t="s">
        <v>44</v>
      </c>
      <c r="C17" s="13">
        <v>0</v>
      </c>
      <c r="D17" s="13">
        <v>0</v>
      </c>
      <c r="E17" s="48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</row>
    <row r="18" spans="1:12" x14ac:dyDescent="0.15">
      <c r="A18" s="59" t="s">
        <v>84</v>
      </c>
      <c r="B18" s="59" t="s">
        <v>46</v>
      </c>
      <c r="C18" s="60">
        <v>0.1</v>
      </c>
      <c r="D18" s="60">
        <v>0.1</v>
      </c>
      <c r="E18" s="60">
        <v>0.1</v>
      </c>
      <c r="F18" s="60">
        <v>0.1</v>
      </c>
      <c r="G18" s="60">
        <v>0.1</v>
      </c>
      <c r="H18" s="60">
        <v>0.1</v>
      </c>
      <c r="I18" s="60">
        <v>0.1</v>
      </c>
      <c r="J18" s="60">
        <v>0.1</v>
      </c>
      <c r="K18" s="60">
        <v>0.1</v>
      </c>
      <c r="L18" s="60">
        <v>0.1</v>
      </c>
    </row>
    <row r="19" spans="1:12" x14ac:dyDescent="0.15">
      <c r="A19" s="2" t="s">
        <v>85</v>
      </c>
      <c r="B19" s="2" t="s">
        <v>47</v>
      </c>
      <c r="C19" s="14">
        <v>60</v>
      </c>
      <c r="D19" s="14">
        <v>60</v>
      </c>
      <c r="E19" s="47">
        <v>60</v>
      </c>
      <c r="F19" s="14">
        <v>60</v>
      </c>
      <c r="G19" s="14">
        <v>60</v>
      </c>
      <c r="H19" s="14">
        <v>60</v>
      </c>
      <c r="I19" s="14">
        <v>60</v>
      </c>
      <c r="J19" s="14">
        <v>60</v>
      </c>
      <c r="K19" s="14">
        <v>60</v>
      </c>
      <c r="L19" s="14">
        <v>60</v>
      </c>
    </row>
    <row r="20" spans="1:12" x14ac:dyDescent="0.15">
      <c r="A20" s="59" t="s">
        <v>234</v>
      </c>
      <c r="B20" s="59" t="s">
        <v>59</v>
      </c>
      <c r="C20" s="60">
        <v>4</v>
      </c>
      <c r="D20" s="60">
        <v>4</v>
      </c>
      <c r="E20" s="61">
        <v>4</v>
      </c>
      <c r="F20" s="60">
        <v>4</v>
      </c>
      <c r="G20" s="60">
        <v>4</v>
      </c>
      <c r="H20" s="60">
        <v>4</v>
      </c>
      <c r="I20" s="60">
        <v>4</v>
      </c>
      <c r="J20" s="60">
        <v>5</v>
      </c>
      <c r="K20" s="60">
        <v>4</v>
      </c>
      <c r="L20" s="60">
        <v>4</v>
      </c>
    </row>
    <row r="21" spans="1:12" x14ac:dyDescent="0.15">
      <c r="A21" s="2" t="s">
        <v>86</v>
      </c>
      <c r="B21" s="2" t="s">
        <v>48</v>
      </c>
      <c r="C21" s="13">
        <v>0.3</v>
      </c>
      <c r="D21" s="13">
        <v>0.3</v>
      </c>
      <c r="E21" s="48">
        <v>0.3</v>
      </c>
      <c r="F21" s="13">
        <v>0.3</v>
      </c>
      <c r="G21" s="13">
        <v>0.3</v>
      </c>
      <c r="H21" s="13">
        <v>0.3</v>
      </c>
      <c r="I21" s="13">
        <v>0.3</v>
      </c>
      <c r="J21" s="13">
        <v>0.3</v>
      </c>
      <c r="K21" s="13">
        <v>0.3</v>
      </c>
      <c r="L21" s="13">
        <v>0.3</v>
      </c>
    </row>
    <row r="22" spans="1:12" x14ac:dyDescent="0.15">
      <c r="A22" s="2" t="s">
        <v>87</v>
      </c>
      <c r="B22" s="2" t="s">
        <v>49</v>
      </c>
      <c r="C22" s="13">
        <v>0.2</v>
      </c>
      <c r="D22" s="13">
        <v>0.2</v>
      </c>
      <c r="E22" s="48">
        <v>0.2</v>
      </c>
      <c r="F22" s="13">
        <v>0.2</v>
      </c>
      <c r="G22" s="13">
        <v>0.2</v>
      </c>
      <c r="H22" s="13">
        <v>0.2</v>
      </c>
      <c r="I22" s="13">
        <v>0.2</v>
      </c>
      <c r="J22" s="13">
        <v>0.2</v>
      </c>
      <c r="K22" s="13">
        <v>0.2</v>
      </c>
      <c r="L22" s="13">
        <v>0.2</v>
      </c>
    </row>
    <row r="23" spans="1:12" x14ac:dyDescent="0.15">
      <c r="A23" s="59" t="s">
        <v>88</v>
      </c>
      <c r="B23" s="59" t="s">
        <v>50</v>
      </c>
      <c r="C23" s="60">
        <v>0.2</v>
      </c>
      <c r="D23" s="60">
        <v>0.2</v>
      </c>
      <c r="E23" s="61">
        <v>0.2</v>
      </c>
      <c r="F23" s="60">
        <v>0.2</v>
      </c>
      <c r="G23" s="60">
        <v>0.2</v>
      </c>
      <c r="H23" s="60">
        <v>0.08</v>
      </c>
      <c r="I23" s="60">
        <v>0.08</v>
      </c>
      <c r="J23" s="60">
        <v>0.08</v>
      </c>
      <c r="K23" s="60">
        <v>0.08</v>
      </c>
      <c r="L23" s="60">
        <v>0.2</v>
      </c>
    </row>
    <row r="24" spans="1:12" x14ac:dyDescent="0.15">
      <c r="A24" s="2" t="s">
        <v>89</v>
      </c>
      <c r="B24" s="2" t="s">
        <v>51</v>
      </c>
      <c r="C24" s="13">
        <v>5</v>
      </c>
      <c r="D24" s="13">
        <v>5</v>
      </c>
      <c r="E24" s="48">
        <v>5</v>
      </c>
      <c r="F24" s="13">
        <v>5</v>
      </c>
      <c r="G24" s="13">
        <v>5</v>
      </c>
      <c r="H24" s="13">
        <v>5</v>
      </c>
      <c r="I24" s="13">
        <v>5</v>
      </c>
      <c r="J24" s="13">
        <v>5</v>
      </c>
      <c r="K24" s="13">
        <v>5</v>
      </c>
      <c r="L24" s="13">
        <v>5</v>
      </c>
    </row>
    <row r="25" spans="1:12" x14ac:dyDescent="0.15">
      <c r="A25" s="2" t="s">
        <v>90</v>
      </c>
      <c r="B25" s="2" t="s">
        <v>52</v>
      </c>
      <c r="C25" s="13">
        <v>0.25</v>
      </c>
      <c r="D25" s="13">
        <v>0.25</v>
      </c>
      <c r="E25" s="48">
        <v>0.25</v>
      </c>
      <c r="F25" s="13">
        <v>0.25</v>
      </c>
      <c r="G25" s="13">
        <v>0.25</v>
      </c>
      <c r="H25" s="13">
        <v>0.25</v>
      </c>
      <c r="I25" s="13">
        <v>0.25</v>
      </c>
      <c r="J25" s="13">
        <v>0.25</v>
      </c>
      <c r="K25" s="13">
        <v>0.25</v>
      </c>
      <c r="L25" s="13">
        <v>0.25</v>
      </c>
    </row>
    <row r="26" spans="1:12" x14ac:dyDescent="0.15">
      <c r="A26" s="1" t="s">
        <v>91</v>
      </c>
      <c r="B26" s="2" t="s">
        <v>53</v>
      </c>
      <c r="C26" s="13">
        <v>9</v>
      </c>
      <c r="D26" s="13">
        <v>9</v>
      </c>
      <c r="E26" s="48">
        <v>9</v>
      </c>
      <c r="F26" s="13">
        <v>9</v>
      </c>
      <c r="G26" s="13">
        <v>9</v>
      </c>
      <c r="H26" s="13">
        <v>9</v>
      </c>
      <c r="I26" s="13">
        <v>9</v>
      </c>
      <c r="J26" s="13">
        <v>9</v>
      </c>
      <c r="K26" s="13">
        <v>9</v>
      </c>
      <c r="L26" s="13">
        <v>9</v>
      </c>
    </row>
    <row r="27" spans="1:12" s="21" customFormat="1" x14ac:dyDescent="0.15">
      <c r="A27" s="22" t="s">
        <v>92</v>
      </c>
      <c r="B27" s="22" t="s">
        <v>54</v>
      </c>
      <c r="C27" s="15">
        <v>-1E-3</v>
      </c>
      <c r="D27" s="15">
        <v>-1E-3</v>
      </c>
      <c r="E27" s="15">
        <v>-1E-3</v>
      </c>
      <c r="F27" s="15">
        <v>-1E-3</v>
      </c>
      <c r="G27" s="15">
        <v>-1E-3</v>
      </c>
      <c r="H27" s="15">
        <v>-1E-3</v>
      </c>
      <c r="I27" s="15">
        <v>-1E-3</v>
      </c>
      <c r="J27" s="15">
        <v>-1E-3</v>
      </c>
      <c r="K27" s="15">
        <v>-1E-3</v>
      </c>
      <c r="L27" s="15">
        <v>-1E-3</v>
      </c>
    </row>
    <row r="28" spans="1:12" x14ac:dyDescent="0.15">
      <c r="A28" s="1" t="s">
        <v>93</v>
      </c>
      <c r="B28" s="1" t="s">
        <v>55</v>
      </c>
      <c r="C28" s="13">
        <v>1.05</v>
      </c>
      <c r="D28" s="13">
        <v>1.05</v>
      </c>
      <c r="E28" s="48">
        <v>1.05</v>
      </c>
      <c r="F28" s="13">
        <v>1.05</v>
      </c>
      <c r="G28" s="13">
        <v>1.05</v>
      </c>
      <c r="H28" s="13">
        <v>1.05</v>
      </c>
      <c r="I28" s="13">
        <v>1.05</v>
      </c>
      <c r="J28" s="13">
        <v>1.05</v>
      </c>
      <c r="K28" s="13">
        <v>1.05</v>
      </c>
      <c r="L28" s="13">
        <v>1.05</v>
      </c>
    </row>
    <row r="29" spans="1:12" x14ac:dyDescent="0.15">
      <c r="A29" s="1" t="s">
        <v>94</v>
      </c>
      <c r="B29" s="1" t="s">
        <v>56</v>
      </c>
      <c r="C29" s="13">
        <v>0</v>
      </c>
      <c r="D29" s="13">
        <v>0</v>
      </c>
      <c r="E29" s="48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</row>
    <row r="30" spans="1:12" x14ac:dyDescent="0.15">
      <c r="A30" s="1" t="s">
        <v>95</v>
      </c>
      <c r="B30" s="1" t="s">
        <v>57</v>
      </c>
      <c r="C30" s="13">
        <v>0</v>
      </c>
      <c r="D30" s="13">
        <v>0</v>
      </c>
      <c r="E30" s="48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</row>
    <row r="31" spans="1:12" x14ac:dyDescent="0.15">
      <c r="A31" s="25"/>
      <c r="B31" s="25"/>
      <c r="C31" s="25"/>
      <c r="D31" s="49"/>
    </row>
  </sheetData>
  <phoneticPr fontId="2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"/>
  <sheetViews>
    <sheetView workbookViewId="0">
      <selection activeCell="Q2" sqref="Q1:R1048576"/>
    </sheetView>
  </sheetViews>
  <sheetFormatPr defaultRowHeight="12" x14ac:dyDescent="0.15"/>
  <cols>
    <col min="1" max="4" width="8.625" style="18" customWidth="1"/>
    <col min="5" max="6" width="9" style="9"/>
    <col min="7" max="8" width="8.625" style="18" customWidth="1"/>
    <col min="9" max="16384" width="9" style="9"/>
  </cols>
  <sheetData>
    <row r="1" spans="1:24" x14ac:dyDescent="0.15">
      <c r="A1" s="90" t="s">
        <v>227</v>
      </c>
      <c r="B1" s="90"/>
      <c r="C1" s="90" t="s">
        <v>227</v>
      </c>
      <c r="D1" s="90"/>
      <c r="E1" s="91" t="s">
        <v>228</v>
      </c>
      <c r="F1" s="90"/>
      <c r="G1" s="90" t="s">
        <v>227</v>
      </c>
      <c r="H1" s="90"/>
      <c r="I1" s="91" t="s">
        <v>229</v>
      </c>
      <c r="J1" s="90"/>
      <c r="K1" s="91" t="s">
        <v>230</v>
      </c>
      <c r="L1" s="90"/>
      <c r="M1" s="91" t="s">
        <v>232</v>
      </c>
      <c r="N1" s="90"/>
      <c r="O1" s="91" t="s">
        <v>231</v>
      </c>
      <c r="P1" s="90"/>
      <c r="Q1" s="91" t="s">
        <v>231</v>
      </c>
      <c r="R1" s="90"/>
      <c r="S1" s="92" t="s">
        <v>233</v>
      </c>
      <c r="T1" s="93"/>
    </row>
    <row r="2" spans="1:24" x14ac:dyDescent="0.15">
      <c r="A2" s="96" t="s">
        <v>96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8"/>
      <c r="Q2" s="69"/>
      <c r="R2" s="69"/>
    </row>
    <row r="3" spans="1:24" s="20" customFormat="1" ht="24" x14ac:dyDescent="0.15">
      <c r="A3" s="19" t="s">
        <v>61</v>
      </c>
      <c r="B3" s="16" t="s">
        <v>60</v>
      </c>
      <c r="C3" s="57" t="s">
        <v>61</v>
      </c>
      <c r="D3" s="58" t="s">
        <v>60</v>
      </c>
      <c r="E3" s="19" t="s">
        <v>61</v>
      </c>
      <c r="F3" s="16" t="s">
        <v>60</v>
      </c>
      <c r="G3" s="57" t="s">
        <v>61</v>
      </c>
      <c r="H3" s="58" t="s">
        <v>60</v>
      </c>
      <c r="I3" s="19" t="s">
        <v>61</v>
      </c>
      <c r="J3" s="16" t="s">
        <v>60</v>
      </c>
      <c r="K3" s="19" t="s">
        <v>61</v>
      </c>
      <c r="L3" s="16" t="s">
        <v>60</v>
      </c>
      <c r="M3" s="19" t="s">
        <v>61</v>
      </c>
      <c r="N3" s="16" t="s">
        <v>60</v>
      </c>
      <c r="O3" s="19" t="s">
        <v>61</v>
      </c>
      <c r="P3" s="16" t="s">
        <v>60</v>
      </c>
      <c r="Q3" s="67" t="s">
        <v>61</v>
      </c>
      <c r="R3" s="68" t="s">
        <v>60</v>
      </c>
      <c r="S3" s="44" t="s">
        <v>61</v>
      </c>
      <c r="T3" s="45" t="s">
        <v>60</v>
      </c>
    </row>
    <row r="4" spans="1:24" x14ac:dyDescent="0.15">
      <c r="A4" s="17">
        <v>-2</v>
      </c>
      <c r="B4" s="17">
        <v>0.05</v>
      </c>
      <c r="C4" s="17">
        <v>-2</v>
      </c>
      <c r="D4" s="17">
        <v>0.05</v>
      </c>
      <c r="E4" s="17">
        <v>-2</v>
      </c>
      <c r="F4" s="17">
        <v>0.05</v>
      </c>
      <c r="G4" s="17">
        <v>-2</v>
      </c>
      <c r="H4" s="17">
        <v>0.05</v>
      </c>
      <c r="I4" s="17">
        <v>-2</v>
      </c>
      <c r="J4" s="17">
        <v>0.05</v>
      </c>
      <c r="K4" s="17">
        <v>-2</v>
      </c>
      <c r="L4" s="17">
        <v>0.05</v>
      </c>
      <c r="M4" s="17">
        <v>-2</v>
      </c>
      <c r="N4" s="17">
        <v>0.05</v>
      </c>
      <c r="O4" s="17">
        <v>-2</v>
      </c>
      <c r="P4" s="17">
        <v>0.05</v>
      </c>
      <c r="Q4" s="17">
        <v>-2</v>
      </c>
      <c r="R4" s="17">
        <v>0.05</v>
      </c>
      <c r="S4" s="17">
        <v>-2</v>
      </c>
      <c r="T4" s="17">
        <v>0.05</v>
      </c>
    </row>
    <row r="5" spans="1:24" x14ac:dyDescent="0.15">
      <c r="A5" s="17">
        <v>-0.42</v>
      </c>
      <c r="B5" s="17">
        <v>0.05</v>
      </c>
      <c r="C5" s="17">
        <v>-0.42</v>
      </c>
      <c r="D5" s="17">
        <v>0.05</v>
      </c>
      <c r="E5" s="17">
        <v>-0.42</v>
      </c>
      <c r="F5" s="17">
        <v>0.05</v>
      </c>
      <c r="G5" s="17">
        <v>-0.42</v>
      </c>
      <c r="H5" s="17">
        <v>0.05</v>
      </c>
      <c r="I5" s="17">
        <v>-0.42</v>
      </c>
      <c r="J5" s="17">
        <v>0.05</v>
      </c>
      <c r="K5" s="17">
        <v>-0.42</v>
      </c>
      <c r="L5" s="17">
        <v>0.05</v>
      </c>
      <c r="M5" s="17">
        <v>-0.42</v>
      </c>
      <c r="N5" s="17">
        <v>0.05</v>
      </c>
      <c r="O5" s="17">
        <v>-0.42</v>
      </c>
      <c r="P5" s="17">
        <v>0.05</v>
      </c>
      <c r="Q5" s="17">
        <v>-0.42</v>
      </c>
      <c r="R5" s="17">
        <v>0.05</v>
      </c>
      <c r="S5" s="17">
        <v>-0.42</v>
      </c>
      <c r="T5" s="17">
        <v>0.05</v>
      </c>
    </row>
    <row r="6" spans="1:24" x14ac:dyDescent="0.15">
      <c r="A6" s="17">
        <v>-0.3</v>
      </c>
      <c r="B6" s="17">
        <v>0</v>
      </c>
      <c r="C6" s="17">
        <v>-0.3</v>
      </c>
      <c r="D6" s="17">
        <v>0</v>
      </c>
      <c r="E6" s="17">
        <v>-0.3</v>
      </c>
      <c r="F6" s="17">
        <v>0</v>
      </c>
      <c r="G6" s="17">
        <v>-0.3</v>
      </c>
      <c r="H6" s="17">
        <v>0</v>
      </c>
      <c r="I6" s="17">
        <v>-0.3</v>
      </c>
      <c r="J6" s="17">
        <v>0</v>
      </c>
      <c r="K6" s="17">
        <v>-0.3</v>
      </c>
      <c r="L6" s="17">
        <v>0</v>
      </c>
      <c r="M6" s="17">
        <v>-0.3</v>
      </c>
      <c r="N6" s="17">
        <v>0</v>
      </c>
      <c r="O6" s="17">
        <v>-0.3</v>
      </c>
      <c r="P6" s="17">
        <v>0</v>
      </c>
      <c r="Q6" s="17">
        <v>-0.3</v>
      </c>
      <c r="R6" s="17">
        <v>0</v>
      </c>
      <c r="S6" s="17">
        <v>-0.3</v>
      </c>
      <c r="T6" s="17">
        <v>0</v>
      </c>
    </row>
    <row r="7" spans="1:24" x14ac:dyDescent="0.15">
      <c r="A7" s="17">
        <v>0.3</v>
      </c>
      <c r="B7" s="17">
        <v>0</v>
      </c>
      <c r="C7" s="17">
        <v>0.3</v>
      </c>
      <c r="D7" s="17">
        <v>0</v>
      </c>
      <c r="E7" s="17">
        <v>0.3</v>
      </c>
      <c r="F7" s="17">
        <v>0</v>
      </c>
      <c r="G7" s="17">
        <v>0.3</v>
      </c>
      <c r="H7" s="17">
        <v>0</v>
      </c>
      <c r="I7" s="17">
        <v>0.3</v>
      </c>
      <c r="J7" s="17">
        <v>0</v>
      </c>
      <c r="K7" s="17">
        <v>0.3</v>
      </c>
      <c r="L7" s="17">
        <v>0</v>
      </c>
      <c r="M7" s="17">
        <v>0.3</v>
      </c>
      <c r="N7" s="17">
        <v>0</v>
      </c>
      <c r="O7" s="17">
        <v>0.3</v>
      </c>
      <c r="P7" s="17">
        <v>0</v>
      </c>
      <c r="Q7" s="17">
        <v>0.3</v>
      </c>
      <c r="R7" s="17">
        <v>0</v>
      </c>
      <c r="S7" s="17">
        <v>0.3</v>
      </c>
      <c r="T7" s="17">
        <v>0</v>
      </c>
    </row>
    <row r="8" spans="1:24" x14ac:dyDescent="0.15">
      <c r="A8" s="17">
        <v>0.42</v>
      </c>
      <c r="B8" s="17">
        <v>-0.05</v>
      </c>
      <c r="C8" s="17">
        <v>0.42</v>
      </c>
      <c r="D8" s="17">
        <v>-0.05</v>
      </c>
      <c r="E8" s="17">
        <v>0.42</v>
      </c>
      <c r="F8" s="17">
        <v>-0.05</v>
      </c>
      <c r="G8" s="17">
        <v>0.42</v>
      </c>
      <c r="H8" s="17">
        <v>-0.05</v>
      </c>
      <c r="I8" s="17">
        <v>0.42</v>
      </c>
      <c r="J8" s="17">
        <v>-0.05</v>
      </c>
      <c r="K8" s="17">
        <v>0.42</v>
      </c>
      <c r="L8" s="17">
        <v>-0.05</v>
      </c>
      <c r="M8" s="17">
        <v>0.42</v>
      </c>
      <c r="N8" s="17">
        <v>-0.05</v>
      </c>
      <c r="O8" s="17">
        <v>0.42</v>
      </c>
      <c r="P8" s="17">
        <v>-0.05</v>
      </c>
      <c r="Q8" s="17">
        <v>0.42</v>
      </c>
      <c r="R8" s="17">
        <v>-0.05</v>
      </c>
      <c r="S8" s="17">
        <v>0.42</v>
      </c>
      <c r="T8" s="17">
        <v>-0.05</v>
      </c>
    </row>
    <row r="9" spans="1:24" x14ac:dyDescent="0.15">
      <c r="A9" s="17">
        <v>2</v>
      </c>
      <c r="B9" s="17">
        <v>-0.05</v>
      </c>
      <c r="C9" s="17">
        <v>2</v>
      </c>
      <c r="D9" s="17">
        <v>-0.05</v>
      </c>
      <c r="E9" s="17">
        <v>2</v>
      </c>
      <c r="F9" s="17">
        <v>-0.05</v>
      </c>
      <c r="G9" s="17">
        <v>2</v>
      </c>
      <c r="H9" s="17">
        <v>-0.05</v>
      </c>
      <c r="I9" s="17">
        <v>2</v>
      </c>
      <c r="J9" s="17">
        <v>-0.05</v>
      </c>
      <c r="K9" s="17">
        <v>2</v>
      </c>
      <c r="L9" s="17">
        <v>-0.05</v>
      </c>
      <c r="M9" s="17">
        <v>2</v>
      </c>
      <c r="N9" s="17">
        <v>-0.05</v>
      </c>
      <c r="O9" s="17">
        <v>2</v>
      </c>
      <c r="P9" s="17">
        <v>-0.05</v>
      </c>
      <c r="Q9" s="17">
        <v>2</v>
      </c>
      <c r="R9" s="17">
        <v>-0.05</v>
      </c>
      <c r="S9" s="17">
        <v>2</v>
      </c>
      <c r="T9" s="17">
        <v>-0.05</v>
      </c>
    </row>
    <row r="12" spans="1:24" x14ac:dyDescent="0.15">
      <c r="S12" s="53"/>
      <c r="T12" s="53"/>
      <c r="U12" s="53"/>
      <c r="V12" s="53"/>
      <c r="W12" s="53"/>
      <c r="X12" s="53"/>
    </row>
    <row r="21" spans="1:20" x14ac:dyDescent="0.15">
      <c r="A21" s="91" t="s">
        <v>227</v>
      </c>
      <c r="B21" s="90"/>
      <c r="C21" s="91" t="s">
        <v>227</v>
      </c>
      <c r="D21" s="90"/>
      <c r="E21" s="91" t="s">
        <v>228</v>
      </c>
      <c r="F21" s="90"/>
      <c r="G21" s="91" t="s">
        <v>227</v>
      </c>
      <c r="H21" s="90"/>
      <c r="I21" s="91" t="s">
        <v>229</v>
      </c>
      <c r="J21" s="90"/>
      <c r="K21" s="91" t="s">
        <v>230</v>
      </c>
      <c r="L21" s="90"/>
      <c r="M21" s="91" t="s">
        <v>232</v>
      </c>
      <c r="N21" s="90"/>
      <c r="O21" s="91" t="s">
        <v>231</v>
      </c>
      <c r="P21" s="90"/>
      <c r="Q21" s="91" t="s">
        <v>231</v>
      </c>
      <c r="R21" s="90"/>
      <c r="S21" s="92" t="s">
        <v>233</v>
      </c>
      <c r="T21" s="93"/>
    </row>
    <row r="22" spans="1:20" x14ac:dyDescent="0.15">
      <c r="A22" s="94" t="s">
        <v>97</v>
      </c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</row>
    <row r="23" spans="1:20" s="20" customFormat="1" ht="24" x14ac:dyDescent="0.15">
      <c r="A23" s="16" t="s">
        <v>60</v>
      </c>
      <c r="B23" s="19" t="s">
        <v>62</v>
      </c>
      <c r="C23" s="58" t="s">
        <v>60</v>
      </c>
      <c r="D23" s="57" t="s">
        <v>62</v>
      </c>
      <c r="E23" s="16" t="s">
        <v>60</v>
      </c>
      <c r="F23" s="19" t="s">
        <v>62</v>
      </c>
      <c r="G23" s="58" t="s">
        <v>60</v>
      </c>
      <c r="H23" s="57" t="s">
        <v>62</v>
      </c>
      <c r="I23" s="16" t="s">
        <v>60</v>
      </c>
      <c r="J23" s="19" t="s">
        <v>62</v>
      </c>
      <c r="K23" s="16" t="s">
        <v>60</v>
      </c>
      <c r="L23" s="19" t="s">
        <v>62</v>
      </c>
      <c r="M23" s="16" t="s">
        <v>60</v>
      </c>
      <c r="N23" s="19" t="s">
        <v>62</v>
      </c>
      <c r="O23" s="16" t="s">
        <v>60</v>
      </c>
      <c r="P23" s="19" t="s">
        <v>62</v>
      </c>
      <c r="Q23" s="68" t="s">
        <v>60</v>
      </c>
      <c r="R23" s="67" t="s">
        <v>62</v>
      </c>
      <c r="S23" s="45" t="s">
        <v>60</v>
      </c>
      <c r="T23" s="44" t="s">
        <v>62</v>
      </c>
    </row>
    <row r="24" spans="1:20" x14ac:dyDescent="0.15">
      <c r="A24" s="17">
        <v>0</v>
      </c>
      <c r="B24" s="17">
        <v>1</v>
      </c>
      <c r="C24" s="17">
        <v>0</v>
      </c>
      <c r="D24" s="17">
        <v>1</v>
      </c>
      <c r="E24" s="17">
        <v>0</v>
      </c>
      <c r="F24" s="17">
        <v>0.4</v>
      </c>
      <c r="G24" s="17">
        <v>0</v>
      </c>
      <c r="H24" s="17">
        <v>1</v>
      </c>
      <c r="I24" s="17">
        <v>0</v>
      </c>
      <c r="J24" s="17">
        <v>0.4</v>
      </c>
      <c r="K24" s="17">
        <v>0</v>
      </c>
      <c r="L24" s="17">
        <v>0.4</v>
      </c>
      <c r="M24" s="17">
        <v>0</v>
      </c>
      <c r="N24" s="17">
        <v>0.4</v>
      </c>
      <c r="O24" s="17">
        <v>0</v>
      </c>
      <c r="P24" s="17">
        <v>0.4</v>
      </c>
      <c r="Q24" s="17">
        <v>0</v>
      </c>
      <c r="R24" s="17">
        <v>0.4</v>
      </c>
      <c r="S24" s="17">
        <v>0</v>
      </c>
      <c r="T24" s="17">
        <v>0.4</v>
      </c>
    </row>
    <row r="25" spans="1:20" x14ac:dyDescent="0.15">
      <c r="A25" s="17">
        <v>0.3</v>
      </c>
      <c r="B25" s="17">
        <v>1</v>
      </c>
      <c r="C25" s="17">
        <v>0.3</v>
      </c>
      <c r="D25" s="17">
        <v>1</v>
      </c>
      <c r="E25" s="17">
        <v>0.3</v>
      </c>
      <c r="F25" s="17">
        <v>0.4</v>
      </c>
      <c r="G25" s="17">
        <v>0.3</v>
      </c>
      <c r="H25" s="17">
        <v>1</v>
      </c>
      <c r="I25" s="17">
        <v>0.3</v>
      </c>
      <c r="J25" s="17">
        <v>0.4</v>
      </c>
      <c r="K25" s="17">
        <v>0.3</v>
      </c>
      <c r="L25" s="17">
        <v>0.4</v>
      </c>
      <c r="M25" s="17">
        <v>0.3</v>
      </c>
      <c r="N25" s="17">
        <v>0.4</v>
      </c>
      <c r="O25" s="17">
        <v>0.3</v>
      </c>
      <c r="P25" s="17">
        <v>0.4</v>
      </c>
      <c r="Q25" s="17">
        <v>0.3</v>
      </c>
      <c r="R25" s="17">
        <v>0.4</v>
      </c>
      <c r="S25" s="17">
        <v>0.3</v>
      </c>
      <c r="T25" s="17">
        <v>0.4</v>
      </c>
    </row>
    <row r="26" spans="1:20" x14ac:dyDescent="0.15">
      <c r="A26" s="17">
        <v>0.9</v>
      </c>
      <c r="B26" s="17">
        <v>1</v>
      </c>
      <c r="C26" s="17">
        <v>0.9</v>
      </c>
      <c r="D26" s="17">
        <v>1</v>
      </c>
      <c r="E26" s="17">
        <v>0.9</v>
      </c>
      <c r="F26" s="17">
        <v>1</v>
      </c>
      <c r="G26" s="17">
        <v>0.9</v>
      </c>
      <c r="H26" s="17">
        <v>1</v>
      </c>
      <c r="I26" s="17">
        <v>0.9</v>
      </c>
      <c r="J26" s="17">
        <v>1</v>
      </c>
      <c r="K26" s="17">
        <v>0.9</v>
      </c>
      <c r="L26" s="17">
        <v>1</v>
      </c>
      <c r="M26" s="17">
        <v>0.9</v>
      </c>
      <c r="N26" s="17">
        <v>1</v>
      </c>
      <c r="O26" s="17">
        <v>0.9</v>
      </c>
      <c r="P26" s="17">
        <v>1</v>
      </c>
      <c r="Q26" s="17">
        <v>0.9</v>
      </c>
      <c r="R26" s="17">
        <v>1</v>
      </c>
      <c r="S26" s="17">
        <v>0.9</v>
      </c>
      <c r="T26" s="17">
        <v>1</v>
      </c>
    </row>
    <row r="27" spans="1:20" x14ac:dyDescent="0.15">
      <c r="A27" s="17">
        <v>1</v>
      </c>
      <c r="B27" s="17">
        <v>1</v>
      </c>
      <c r="C27" s="17">
        <v>1</v>
      </c>
      <c r="D27" s="17">
        <v>1</v>
      </c>
      <c r="E27" s="17">
        <v>1</v>
      </c>
      <c r="F27" s="17">
        <v>1</v>
      </c>
      <c r="G27" s="17">
        <v>1</v>
      </c>
      <c r="H27" s="17">
        <v>1</v>
      </c>
      <c r="I27" s="17">
        <v>1</v>
      </c>
      <c r="J27" s="17">
        <v>1</v>
      </c>
      <c r="K27" s="17">
        <v>1</v>
      </c>
      <c r="L27" s="17">
        <v>1</v>
      </c>
      <c r="M27" s="17">
        <v>1</v>
      </c>
      <c r="N27" s="17">
        <v>1</v>
      </c>
      <c r="O27" s="17">
        <v>1</v>
      </c>
      <c r="P27" s="17">
        <v>1</v>
      </c>
      <c r="Q27" s="17">
        <v>1</v>
      </c>
      <c r="R27" s="17">
        <v>1</v>
      </c>
      <c r="S27" s="17">
        <v>1</v>
      </c>
      <c r="T27" s="17">
        <v>1</v>
      </c>
    </row>
    <row r="28" spans="1:20" x14ac:dyDescent="0.15">
      <c r="A28" s="25"/>
      <c r="C28" s="25"/>
      <c r="G28" s="25"/>
    </row>
  </sheetData>
  <mergeCells count="22">
    <mergeCell ref="S1:T1"/>
    <mergeCell ref="S21:T21"/>
    <mergeCell ref="A22:T22"/>
    <mergeCell ref="A2:P2"/>
    <mergeCell ref="M1:N1"/>
    <mergeCell ref="O1:P1"/>
    <mergeCell ref="I1:J1"/>
    <mergeCell ref="K1:L1"/>
    <mergeCell ref="A1:B1"/>
    <mergeCell ref="E1:F1"/>
    <mergeCell ref="A21:B21"/>
    <mergeCell ref="E21:F21"/>
    <mergeCell ref="I21:J21"/>
    <mergeCell ref="K21:L21"/>
    <mergeCell ref="M21:N21"/>
    <mergeCell ref="O21:P21"/>
    <mergeCell ref="C1:D1"/>
    <mergeCell ref="C21:D21"/>
    <mergeCell ref="Q1:R1"/>
    <mergeCell ref="Q21:R21"/>
    <mergeCell ref="G1:H1"/>
    <mergeCell ref="G21:H21"/>
  </mergeCells>
  <phoneticPr fontId="2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5"/>
  <sheetViews>
    <sheetView zoomScaleNormal="100" workbookViewId="0">
      <selection activeCell="E1" sqref="E1:E34"/>
    </sheetView>
  </sheetViews>
  <sheetFormatPr defaultRowHeight="13.5" x14ac:dyDescent="0.15"/>
  <cols>
    <col min="1" max="1" width="9.875" style="24" customWidth="1"/>
    <col min="2" max="2" width="32.125" style="23" customWidth="1"/>
    <col min="3" max="4" width="6.75" style="23" customWidth="1"/>
    <col min="5" max="5" width="9" style="23"/>
    <col min="6" max="6" width="24" style="23" bestFit="1" customWidth="1"/>
    <col min="7" max="16384" width="9" style="23"/>
  </cols>
  <sheetData>
    <row r="1" spans="1:7" x14ac:dyDescent="0.15">
      <c r="A1" s="8" t="s">
        <v>1</v>
      </c>
      <c r="B1" s="7" t="s">
        <v>2</v>
      </c>
      <c r="C1" s="7" t="s">
        <v>30</v>
      </c>
      <c r="D1" s="7" t="s">
        <v>31</v>
      </c>
      <c r="E1" s="7"/>
    </row>
    <row r="2" spans="1:7" s="9" customFormat="1" ht="12" x14ac:dyDescent="0.15">
      <c r="A2" s="2" t="s">
        <v>98</v>
      </c>
      <c r="B2" s="10" t="s">
        <v>3</v>
      </c>
      <c r="C2" s="70">
        <v>425</v>
      </c>
      <c r="D2" s="70">
        <v>425</v>
      </c>
      <c r="E2" s="70"/>
      <c r="F2" s="71"/>
      <c r="G2" s="72"/>
    </row>
    <row r="3" spans="1:7" s="9" customFormat="1" ht="12" x14ac:dyDescent="0.15">
      <c r="A3" s="2" t="s">
        <v>99</v>
      </c>
      <c r="B3" s="10" t="s">
        <v>33</v>
      </c>
      <c r="C3" s="13">
        <v>1</v>
      </c>
      <c r="D3" s="13">
        <v>1</v>
      </c>
      <c r="E3" s="13"/>
      <c r="F3" s="71"/>
      <c r="G3" s="73"/>
    </row>
    <row r="4" spans="1:7" s="9" customFormat="1" ht="12" x14ac:dyDescent="0.15">
      <c r="A4" s="2" t="s">
        <v>100</v>
      </c>
      <c r="B4" s="10" t="s">
        <v>34</v>
      </c>
      <c r="C4" s="54">
        <v>0.42</v>
      </c>
      <c r="D4" s="54">
        <v>0.42</v>
      </c>
      <c r="E4" s="54"/>
      <c r="F4" s="71"/>
      <c r="G4" s="73"/>
    </row>
    <row r="5" spans="1:7" s="9" customFormat="1" ht="12" x14ac:dyDescent="0.15">
      <c r="A5" s="2" t="s">
        <v>101</v>
      </c>
      <c r="B5" s="10" t="s">
        <v>45</v>
      </c>
      <c r="C5" s="51">
        <v>4.7E-2</v>
      </c>
      <c r="D5" s="51">
        <v>4.7E-2</v>
      </c>
      <c r="E5" s="51"/>
      <c r="F5" s="71"/>
      <c r="G5" s="79"/>
    </row>
    <row r="6" spans="1:7" x14ac:dyDescent="0.15">
      <c r="A6" s="2" t="s">
        <v>102</v>
      </c>
      <c r="B6" s="4" t="s">
        <v>63</v>
      </c>
      <c r="C6" s="3">
        <v>5</v>
      </c>
      <c r="D6" s="3">
        <v>5</v>
      </c>
      <c r="E6" s="3"/>
      <c r="F6" s="71"/>
      <c r="G6" s="72"/>
    </row>
    <row r="7" spans="1:7" x14ac:dyDescent="0.15">
      <c r="A7" s="2" t="s">
        <v>128</v>
      </c>
      <c r="B7" s="4" t="s">
        <v>64</v>
      </c>
      <c r="C7" s="3">
        <v>0.65</v>
      </c>
      <c r="D7" s="3">
        <v>0.65</v>
      </c>
      <c r="E7" s="3"/>
      <c r="F7" s="71"/>
      <c r="G7" s="72"/>
    </row>
    <row r="8" spans="1:7" x14ac:dyDescent="0.15">
      <c r="A8" s="2" t="s">
        <v>103</v>
      </c>
      <c r="B8" s="4" t="s">
        <v>4</v>
      </c>
      <c r="C8" s="3">
        <v>5</v>
      </c>
      <c r="D8" s="3">
        <v>5</v>
      </c>
      <c r="E8" s="3"/>
      <c r="F8" s="74"/>
      <c r="G8" s="72"/>
    </row>
    <row r="9" spans="1:7" ht="13.5" customHeight="1" x14ac:dyDescent="0.15">
      <c r="A9" s="2" t="s">
        <v>104</v>
      </c>
      <c r="B9" s="4" t="s">
        <v>5</v>
      </c>
      <c r="C9" s="3">
        <v>1300</v>
      </c>
      <c r="D9" s="3">
        <v>1300</v>
      </c>
      <c r="E9" s="3"/>
      <c r="F9" s="74"/>
      <c r="G9" s="72"/>
    </row>
    <row r="10" spans="1:7" x14ac:dyDescent="0.15">
      <c r="A10" s="2" t="s">
        <v>105</v>
      </c>
      <c r="B10" s="2" t="s">
        <v>6</v>
      </c>
      <c r="C10" s="3">
        <v>14.7</v>
      </c>
      <c r="D10" s="3">
        <v>14.7</v>
      </c>
      <c r="E10" s="3"/>
      <c r="F10" s="74"/>
      <c r="G10" s="72"/>
    </row>
    <row r="11" spans="1:7" x14ac:dyDescent="0.15">
      <c r="A11" s="2" t="s">
        <v>106</v>
      </c>
      <c r="B11" s="2" t="s">
        <v>7</v>
      </c>
      <c r="C11" s="3">
        <v>1.4</v>
      </c>
      <c r="D11" s="3">
        <v>1.4</v>
      </c>
      <c r="E11" s="3"/>
      <c r="F11" s="74"/>
      <c r="G11" s="73"/>
    </row>
    <row r="12" spans="1:7" x14ac:dyDescent="0.15">
      <c r="A12" s="2" t="s">
        <v>107</v>
      </c>
      <c r="B12" s="2" t="s">
        <v>8</v>
      </c>
      <c r="C12" s="6">
        <v>0.90700000000000003</v>
      </c>
      <c r="D12" s="6">
        <v>0.90700000000000003</v>
      </c>
      <c r="E12" s="6"/>
      <c r="F12" s="71"/>
      <c r="G12" s="72"/>
    </row>
    <row r="13" spans="1:7" ht="13.5" customHeight="1" x14ac:dyDescent="0.15">
      <c r="A13" s="2" t="s">
        <v>108</v>
      </c>
      <c r="B13" s="4" t="s">
        <v>9</v>
      </c>
      <c r="C13" s="3">
        <v>1.33</v>
      </c>
      <c r="D13" s="3">
        <v>1.33</v>
      </c>
      <c r="E13" s="3"/>
      <c r="F13" s="74"/>
      <c r="G13" s="73"/>
    </row>
    <row r="14" spans="1:7" ht="13.5" customHeight="1" x14ac:dyDescent="0.15">
      <c r="A14" s="2" t="s">
        <v>109</v>
      </c>
      <c r="B14" s="4" t="s">
        <v>10</v>
      </c>
      <c r="C14" s="3">
        <v>0.93</v>
      </c>
      <c r="D14" s="3">
        <v>0.93</v>
      </c>
      <c r="E14" s="3"/>
      <c r="F14" s="75"/>
      <c r="G14" s="73"/>
    </row>
    <row r="15" spans="1:7" x14ac:dyDescent="0.15">
      <c r="A15" s="2" t="s">
        <v>110</v>
      </c>
      <c r="B15" s="2" t="s">
        <v>11</v>
      </c>
      <c r="C15" s="3">
        <v>0.1</v>
      </c>
      <c r="D15" s="3">
        <v>0.1</v>
      </c>
      <c r="E15" s="3"/>
      <c r="F15" s="71"/>
      <c r="G15" s="73"/>
    </row>
    <row r="16" spans="1:7" x14ac:dyDescent="0.15">
      <c r="A16" s="2" t="s">
        <v>111</v>
      </c>
      <c r="B16" s="4" t="s">
        <v>12</v>
      </c>
      <c r="C16" s="3">
        <v>300</v>
      </c>
      <c r="D16" s="3">
        <v>300</v>
      </c>
      <c r="E16" s="3"/>
      <c r="F16" s="71"/>
      <c r="G16" s="76"/>
    </row>
    <row r="17" spans="1:7" ht="13.5" customHeight="1" x14ac:dyDescent="0.15">
      <c r="A17" s="2" t="s">
        <v>112</v>
      </c>
      <c r="B17" s="2" t="s">
        <v>13</v>
      </c>
      <c r="C17" s="13">
        <v>5</v>
      </c>
      <c r="D17" s="13">
        <v>3</v>
      </c>
      <c r="E17" s="13"/>
      <c r="F17" s="77"/>
      <c r="G17" s="73"/>
    </row>
    <row r="18" spans="1:7" x14ac:dyDescent="0.15">
      <c r="A18" s="2" t="s">
        <v>113</v>
      </c>
      <c r="B18" s="2" t="s">
        <v>14</v>
      </c>
      <c r="C18" s="5">
        <v>3</v>
      </c>
      <c r="D18" s="5">
        <v>1</v>
      </c>
      <c r="E18" s="5"/>
      <c r="F18" s="77"/>
      <c r="G18" s="73"/>
    </row>
    <row r="19" spans="1:7" x14ac:dyDescent="0.15">
      <c r="A19" s="2" t="s">
        <v>114</v>
      </c>
      <c r="B19" s="2" t="s">
        <v>15</v>
      </c>
      <c r="C19" s="3">
        <v>1.2</v>
      </c>
      <c r="D19" s="3">
        <v>1.2</v>
      </c>
      <c r="E19" s="3"/>
      <c r="F19" s="77"/>
      <c r="G19" s="72"/>
    </row>
    <row r="20" spans="1:7" x14ac:dyDescent="0.15">
      <c r="A20" s="2" t="s">
        <v>115</v>
      </c>
      <c r="B20" s="2" t="s">
        <v>16</v>
      </c>
      <c r="C20" s="5">
        <v>0</v>
      </c>
      <c r="D20" s="5">
        <v>0</v>
      </c>
      <c r="E20" s="5"/>
      <c r="F20" s="77"/>
      <c r="G20" s="73"/>
    </row>
    <row r="21" spans="1:7" x14ac:dyDescent="0.15">
      <c r="A21" s="2" t="s">
        <v>116</v>
      </c>
      <c r="B21" s="2" t="s">
        <v>17</v>
      </c>
      <c r="C21" s="13">
        <v>0.06</v>
      </c>
      <c r="D21" s="13">
        <v>0.09</v>
      </c>
      <c r="E21" s="13"/>
      <c r="F21" s="77"/>
      <c r="G21" s="73"/>
    </row>
    <row r="22" spans="1:7" x14ac:dyDescent="0.15">
      <c r="A22" s="2" t="s">
        <v>117</v>
      </c>
      <c r="B22" s="2" t="s">
        <v>0</v>
      </c>
      <c r="C22" s="6">
        <v>0.04</v>
      </c>
      <c r="D22" s="6">
        <v>0.1</v>
      </c>
      <c r="E22" s="6"/>
      <c r="F22" s="77"/>
      <c r="G22" s="73"/>
    </row>
    <row r="23" spans="1:7" x14ac:dyDescent="0.15">
      <c r="A23" s="2" t="s">
        <v>118</v>
      </c>
      <c r="B23" s="2" t="s">
        <v>18</v>
      </c>
      <c r="C23" s="5">
        <v>15</v>
      </c>
      <c r="D23" s="5">
        <v>10</v>
      </c>
      <c r="E23" s="5"/>
      <c r="F23" s="77"/>
      <c r="G23" s="73"/>
    </row>
    <row r="24" spans="1:7" x14ac:dyDescent="0.15">
      <c r="A24" s="2" t="s">
        <v>129</v>
      </c>
      <c r="B24" s="2" t="s">
        <v>19</v>
      </c>
      <c r="C24" s="5">
        <v>4</v>
      </c>
      <c r="D24" s="5">
        <v>4</v>
      </c>
      <c r="E24" s="5"/>
      <c r="F24" s="77"/>
      <c r="G24" s="73"/>
    </row>
    <row r="25" spans="1:7" x14ac:dyDescent="0.15">
      <c r="A25" s="2" t="s">
        <v>130</v>
      </c>
      <c r="B25" s="2" t="s">
        <v>20</v>
      </c>
      <c r="C25" s="5">
        <v>3</v>
      </c>
      <c r="D25" s="5">
        <v>3</v>
      </c>
      <c r="E25" s="5"/>
      <c r="F25" s="77"/>
      <c r="G25" s="73"/>
    </row>
    <row r="26" spans="1:7" x14ac:dyDescent="0.15">
      <c r="A26" s="2" t="s">
        <v>131</v>
      </c>
      <c r="B26" s="2" t="s">
        <v>21</v>
      </c>
      <c r="C26" s="5">
        <v>1</v>
      </c>
      <c r="D26" s="5">
        <v>1</v>
      </c>
      <c r="E26" s="5"/>
      <c r="F26" s="77"/>
      <c r="G26" s="73"/>
    </row>
    <row r="27" spans="1:7" x14ac:dyDescent="0.15">
      <c r="A27" s="2" t="s">
        <v>119</v>
      </c>
      <c r="B27" s="2" t="s">
        <v>25</v>
      </c>
      <c r="C27" s="5">
        <v>2</v>
      </c>
      <c r="D27" s="5">
        <v>2</v>
      </c>
      <c r="E27" s="5"/>
      <c r="F27" s="80"/>
      <c r="G27" s="78"/>
    </row>
    <row r="28" spans="1:7" x14ac:dyDescent="0.15">
      <c r="A28" s="2" t="s">
        <v>120</v>
      </c>
      <c r="B28" s="2" t="s">
        <v>26</v>
      </c>
      <c r="C28" s="5">
        <v>5</v>
      </c>
      <c r="D28" s="5">
        <v>5</v>
      </c>
      <c r="E28" s="5"/>
      <c r="F28" s="77"/>
      <c r="G28" s="73"/>
    </row>
    <row r="29" spans="1:7" x14ac:dyDescent="0.15">
      <c r="A29" s="2" t="s">
        <v>121</v>
      </c>
      <c r="B29" s="2" t="s">
        <v>27</v>
      </c>
      <c r="C29" s="5">
        <v>1</v>
      </c>
      <c r="D29" s="5">
        <v>1</v>
      </c>
      <c r="E29" s="5"/>
      <c r="F29" s="77"/>
      <c r="G29" s="73"/>
    </row>
    <row r="30" spans="1:7" x14ac:dyDescent="0.15">
      <c r="A30" s="2" t="s">
        <v>122</v>
      </c>
      <c r="B30" s="2" t="s">
        <v>28</v>
      </c>
      <c r="C30" s="6">
        <v>0.75</v>
      </c>
      <c r="D30" s="6">
        <v>0.75</v>
      </c>
      <c r="E30" s="6"/>
      <c r="F30" s="77"/>
      <c r="G30" s="73"/>
    </row>
    <row r="31" spans="1:7" x14ac:dyDescent="0.15">
      <c r="A31" s="2" t="s">
        <v>132</v>
      </c>
      <c r="B31" s="2" t="s">
        <v>29</v>
      </c>
      <c r="C31" s="5">
        <v>3</v>
      </c>
      <c r="D31" s="5">
        <v>3</v>
      </c>
      <c r="E31" s="5"/>
    </row>
    <row r="32" spans="1:7" x14ac:dyDescent="0.15">
      <c r="A32" s="2" t="s">
        <v>123</v>
      </c>
      <c r="B32" s="2" t="s">
        <v>22</v>
      </c>
      <c r="C32" s="5">
        <v>1</v>
      </c>
      <c r="D32" s="5">
        <v>6</v>
      </c>
      <c r="E32" s="5"/>
    </row>
    <row r="33" spans="1:5" x14ac:dyDescent="0.15">
      <c r="A33" s="2" t="s">
        <v>133</v>
      </c>
      <c r="B33" s="2" t="s">
        <v>23</v>
      </c>
      <c r="C33" s="5">
        <v>1.2</v>
      </c>
      <c r="D33" s="5">
        <v>1.2</v>
      </c>
      <c r="E33" s="5"/>
    </row>
    <row r="34" spans="1:5" x14ac:dyDescent="0.15">
      <c r="A34" s="2" t="s">
        <v>124</v>
      </c>
      <c r="B34" s="2" t="s">
        <v>24</v>
      </c>
      <c r="C34" s="3">
        <v>-0.1</v>
      </c>
      <c r="D34" s="3">
        <v>-0.1</v>
      </c>
      <c r="E34" s="3"/>
    </row>
    <row r="35" spans="1:5" x14ac:dyDescent="0.15">
      <c r="A35" s="25"/>
      <c r="B35" s="25"/>
      <c r="C35" s="25"/>
      <c r="D35" s="25"/>
    </row>
  </sheetData>
  <phoneticPr fontId="2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7"/>
  <sheetViews>
    <sheetView workbookViewId="0">
      <selection activeCell="C4" sqref="C4"/>
    </sheetView>
  </sheetViews>
  <sheetFormatPr defaultRowHeight="13.5" x14ac:dyDescent="0.15"/>
  <cols>
    <col min="1" max="4" width="8.625" style="18" customWidth="1"/>
  </cols>
  <sheetData>
    <row r="1" spans="1:6" x14ac:dyDescent="0.15">
      <c r="A1" s="100" t="s">
        <v>65</v>
      </c>
      <c r="B1" s="99"/>
      <c r="C1" s="100" t="s">
        <v>31</v>
      </c>
      <c r="D1" s="99"/>
      <c r="E1" s="99"/>
      <c r="F1" s="99"/>
    </row>
    <row r="2" spans="1:6" ht="25.5" customHeight="1" x14ac:dyDescent="0.15">
      <c r="A2" s="101" t="s">
        <v>126</v>
      </c>
      <c r="B2" s="102"/>
      <c r="C2" s="102"/>
      <c r="D2" s="102"/>
    </row>
    <row r="3" spans="1:6" ht="24" x14ac:dyDescent="0.15">
      <c r="A3" s="19" t="s">
        <v>61</v>
      </c>
      <c r="B3" s="16" t="s">
        <v>60</v>
      </c>
      <c r="C3" s="19" t="s">
        <v>61</v>
      </c>
      <c r="D3" s="16" t="s">
        <v>60</v>
      </c>
      <c r="E3" s="85"/>
      <c r="F3" s="86"/>
    </row>
    <row r="4" spans="1:6" x14ac:dyDescent="0.15">
      <c r="A4" s="17">
        <v>-2</v>
      </c>
      <c r="B4" s="17">
        <v>0.4</v>
      </c>
      <c r="C4" s="17">
        <v>-2</v>
      </c>
      <c r="D4" s="17">
        <v>0.4</v>
      </c>
      <c r="E4" s="17"/>
      <c r="F4" s="17"/>
    </row>
    <row r="5" spans="1:6" x14ac:dyDescent="0.15">
      <c r="A5" s="17">
        <v>-1</v>
      </c>
      <c r="B5" s="17">
        <v>0.4</v>
      </c>
      <c r="C5" s="17">
        <v>-1</v>
      </c>
      <c r="D5" s="17">
        <v>0.4</v>
      </c>
      <c r="E5" s="17"/>
      <c r="F5" s="17"/>
    </row>
    <row r="6" spans="1:6" x14ac:dyDescent="0.15">
      <c r="A6" s="17">
        <v>-0.3</v>
      </c>
      <c r="B6" s="17">
        <v>0</v>
      </c>
      <c r="C6" s="17">
        <v>-0.3</v>
      </c>
      <c r="D6" s="17">
        <v>0</v>
      </c>
      <c r="E6" s="17"/>
      <c r="F6" s="17"/>
    </row>
    <row r="7" spans="1:6" x14ac:dyDescent="0.15">
      <c r="A7" s="17">
        <v>0.3</v>
      </c>
      <c r="B7" s="17">
        <v>0</v>
      </c>
      <c r="C7" s="17">
        <v>0.3</v>
      </c>
      <c r="D7" s="17">
        <v>0</v>
      </c>
      <c r="E7" s="17"/>
      <c r="F7" s="17"/>
    </row>
    <row r="8" spans="1:6" x14ac:dyDescent="0.15">
      <c r="A8" s="17">
        <v>1</v>
      </c>
      <c r="B8" s="17">
        <v>-0.4</v>
      </c>
      <c r="C8" s="17">
        <v>1</v>
      </c>
      <c r="D8" s="17">
        <v>-0.4</v>
      </c>
      <c r="E8" s="17"/>
      <c r="F8" s="17"/>
    </row>
    <row r="9" spans="1:6" x14ac:dyDescent="0.15">
      <c r="A9" s="17">
        <v>2</v>
      </c>
      <c r="B9" s="17">
        <v>-0.4</v>
      </c>
      <c r="C9" s="17">
        <v>2</v>
      </c>
      <c r="D9" s="17">
        <v>-0.4</v>
      </c>
      <c r="E9" s="17"/>
      <c r="F9" s="17"/>
    </row>
    <row r="21" spans="1:6" x14ac:dyDescent="0.15">
      <c r="A21" s="100" t="s">
        <v>65</v>
      </c>
      <c r="B21" s="99"/>
      <c r="C21" s="100" t="s">
        <v>31</v>
      </c>
      <c r="D21" s="99"/>
      <c r="E21" s="99"/>
      <c r="F21" s="99"/>
    </row>
    <row r="22" spans="1:6" s="27" customFormat="1" ht="24" customHeight="1" x14ac:dyDescent="0.15">
      <c r="A22" s="103" t="s">
        <v>125</v>
      </c>
      <c r="B22" s="104"/>
      <c r="C22" s="104"/>
      <c r="D22" s="105"/>
    </row>
    <row r="23" spans="1:6" ht="24" x14ac:dyDescent="0.15">
      <c r="A23" s="19" t="s">
        <v>67</v>
      </c>
      <c r="B23" s="19" t="s">
        <v>66</v>
      </c>
      <c r="C23" s="19" t="s">
        <v>67</v>
      </c>
      <c r="D23" s="19" t="s">
        <v>66</v>
      </c>
      <c r="E23" s="83"/>
      <c r="F23" s="83"/>
    </row>
    <row r="24" spans="1:6" x14ac:dyDescent="0.15">
      <c r="A24" s="17">
        <v>0</v>
      </c>
      <c r="B24" s="17">
        <v>1.05</v>
      </c>
      <c r="C24" s="17">
        <v>0</v>
      </c>
      <c r="D24" s="17">
        <v>1.05</v>
      </c>
      <c r="E24" s="17"/>
      <c r="F24" s="17"/>
    </row>
    <row r="25" spans="1:6" x14ac:dyDescent="0.15">
      <c r="A25" s="17">
        <v>0.9</v>
      </c>
      <c r="B25" s="17">
        <v>1.05</v>
      </c>
      <c r="C25" s="17">
        <v>0.85</v>
      </c>
      <c r="D25" s="17">
        <v>1.05</v>
      </c>
      <c r="E25" s="17"/>
      <c r="F25" s="17"/>
    </row>
    <row r="26" spans="1:6" x14ac:dyDescent="0.15">
      <c r="A26" s="17">
        <v>1</v>
      </c>
      <c r="B26" s="17">
        <v>1</v>
      </c>
      <c r="C26" s="17">
        <v>1</v>
      </c>
      <c r="D26" s="17">
        <v>1</v>
      </c>
      <c r="E26" s="17"/>
      <c r="F26" s="17"/>
    </row>
    <row r="27" spans="1:6" x14ac:dyDescent="0.15">
      <c r="A27" s="17">
        <v>1.1000000000000001</v>
      </c>
      <c r="B27" s="17">
        <v>1</v>
      </c>
      <c r="C27" s="17">
        <v>1.1000000000000001</v>
      </c>
      <c r="D27" s="17">
        <v>1</v>
      </c>
      <c r="E27" s="17"/>
      <c r="F27" s="17"/>
    </row>
    <row r="28" spans="1:6" s="29" customFormat="1" x14ac:dyDescent="0.15">
      <c r="A28" s="28"/>
      <c r="B28" s="28"/>
      <c r="C28" s="28"/>
      <c r="D28" s="28"/>
    </row>
    <row r="29" spans="1:6" s="29" customFormat="1" x14ac:dyDescent="0.15">
      <c r="A29" s="28"/>
      <c r="B29" s="28"/>
      <c r="C29" s="28"/>
      <c r="D29" s="28"/>
    </row>
    <row r="30" spans="1:6" s="29" customFormat="1" x14ac:dyDescent="0.15">
      <c r="A30" s="28"/>
      <c r="B30" s="28"/>
      <c r="C30" s="28"/>
      <c r="D30" s="28"/>
    </row>
    <row r="41" spans="1:6" x14ac:dyDescent="0.15">
      <c r="A41" s="100" t="s">
        <v>65</v>
      </c>
      <c r="B41" s="99"/>
      <c r="C41" s="100" t="s">
        <v>31</v>
      </c>
      <c r="D41" s="99"/>
      <c r="E41" s="99"/>
      <c r="F41" s="99"/>
    </row>
    <row r="42" spans="1:6" ht="27" customHeight="1" x14ac:dyDescent="0.15">
      <c r="A42" s="103" t="s">
        <v>127</v>
      </c>
      <c r="B42" s="104"/>
      <c r="C42" s="104"/>
      <c r="D42" s="105"/>
    </row>
    <row r="43" spans="1:6" ht="24" x14ac:dyDescent="0.15">
      <c r="A43" s="19" t="s">
        <v>67</v>
      </c>
      <c r="B43" s="19" t="s">
        <v>66</v>
      </c>
      <c r="C43" s="19" t="s">
        <v>67</v>
      </c>
      <c r="D43" s="19" t="s">
        <v>66</v>
      </c>
      <c r="E43" s="83"/>
      <c r="F43" s="83"/>
    </row>
    <row r="44" spans="1:6" x14ac:dyDescent="0.15">
      <c r="A44" s="17">
        <v>0</v>
      </c>
      <c r="B44" s="17">
        <v>1.03</v>
      </c>
      <c r="C44" s="17">
        <v>0</v>
      </c>
      <c r="D44" s="17">
        <v>1.02</v>
      </c>
      <c r="E44" s="17"/>
      <c r="F44" s="17"/>
    </row>
    <row r="45" spans="1:6" x14ac:dyDescent="0.15">
      <c r="A45" s="17">
        <v>0.9</v>
      </c>
      <c r="B45" s="17">
        <v>1.03</v>
      </c>
      <c r="C45" s="17">
        <v>0.85</v>
      </c>
      <c r="D45" s="17">
        <v>1.02</v>
      </c>
      <c r="E45" s="17"/>
      <c r="F45" s="17"/>
    </row>
    <row r="46" spans="1:6" x14ac:dyDescent="0.15">
      <c r="A46" s="17">
        <v>1</v>
      </c>
      <c r="B46" s="17">
        <v>0.98</v>
      </c>
      <c r="C46" s="17">
        <v>1</v>
      </c>
      <c r="D46" s="17">
        <v>0.97</v>
      </c>
      <c r="E46" s="17"/>
      <c r="F46" s="17"/>
    </row>
    <row r="47" spans="1:6" x14ac:dyDescent="0.15">
      <c r="A47" s="17">
        <v>1.1000000000000001</v>
      </c>
      <c r="B47" s="17">
        <v>0.98</v>
      </c>
      <c r="C47" s="17">
        <v>1.1000000000000001</v>
      </c>
      <c r="D47" s="17">
        <v>0.97</v>
      </c>
      <c r="E47" s="17"/>
      <c r="F47" s="17"/>
    </row>
  </sheetData>
  <mergeCells count="12">
    <mergeCell ref="A42:D42"/>
    <mergeCell ref="A21:B21"/>
    <mergeCell ref="C21:D21"/>
    <mergeCell ref="A41:B41"/>
    <mergeCell ref="C41:D41"/>
    <mergeCell ref="E21:F21"/>
    <mergeCell ref="E41:F41"/>
    <mergeCell ref="A1:B1"/>
    <mergeCell ref="C1:D1"/>
    <mergeCell ref="A2:D2"/>
    <mergeCell ref="A22:D22"/>
    <mergeCell ref="E1:F1"/>
  </mergeCells>
  <phoneticPr fontId="2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7"/>
  <sheetViews>
    <sheetView workbookViewId="0">
      <selection activeCell="D2" sqref="D2"/>
    </sheetView>
  </sheetViews>
  <sheetFormatPr defaultRowHeight="13.5" x14ac:dyDescent="0.15"/>
  <cols>
    <col min="1" max="1" width="18.625" style="18" customWidth="1"/>
    <col min="2" max="2" width="22.75" style="18" customWidth="1"/>
  </cols>
  <sheetData>
    <row r="1" spans="1:3" x14ac:dyDescent="0.15">
      <c r="A1" s="7" t="s">
        <v>1</v>
      </c>
      <c r="B1" s="7" t="s">
        <v>2</v>
      </c>
      <c r="C1" s="7" t="s">
        <v>147</v>
      </c>
    </row>
    <row r="2" spans="1:3" x14ac:dyDescent="0.15">
      <c r="A2" s="31" t="s">
        <v>146</v>
      </c>
      <c r="B2" s="32" t="s">
        <v>3</v>
      </c>
      <c r="C2" s="33">
        <v>388</v>
      </c>
    </row>
    <row r="3" spans="1:3" x14ac:dyDescent="0.15">
      <c r="A3" s="31" t="s">
        <v>136</v>
      </c>
      <c r="B3" s="32" t="s">
        <v>148</v>
      </c>
      <c r="C3" s="30">
        <v>1</v>
      </c>
    </row>
    <row r="4" spans="1:3" x14ac:dyDescent="0.15">
      <c r="A4" s="31" t="s">
        <v>153</v>
      </c>
      <c r="B4" s="32" t="s">
        <v>149</v>
      </c>
      <c r="C4" s="84">
        <f>50/C2</f>
        <v>0.12886597938144329</v>
      </c>
    </row>
    <row r="5" spans="1:3" x14ac:dyDescent="0.15">
      <c r="A5" s="31" t="s">
        <v>154</v>
      </c>
      <c r="B5" s="32" t="s">
        <v>150</v>
      </c>
      <c r="C5" s="30">
        <v>0.111</v>
      </c>
    </row>
    <row r="6" spans="1:3" x14ac:dyDescent="0.15">
      <c r="A6" s="31" t="s">
        <v>155</v>
      </c>
      <c r="B6" s="34" t="s">
        <v>137</v>
      </c>
      <c r="C6" s="35">
        <v>0.04</v>
      </c>
    </row>
    <row r="7" spans="1:3" x14ac:dyDescent="0.15">
      <c r="A7" s="31" t="s">
        <v>156</v>
      </c>
      <c r="B7" s="34" t="s">
        <v>138</v>
      </c>
      <c r="C7" s="35">
        <v>15</v>
      </c>
    </row>
    <row r="8" spans="1:3" x14ac:dyDescent="0.15">
      <c r="A8" s="31" t="s">
        <v>157</v>
      </c>
      <c r="B8" s="34" t="s">
        <v>167</v>
      </c>
      <c r="C8" s="35">
        <v>10</v>
      </c>
    </row>
    <row r="9" spans="1:3" s="29" customFormat="1" x14ac:dyDescent="0.15">
      <c r="A9" s="31" t="s">
        <v>158</v>
      </c>
      <c r="B9" s="34" t="s">
        <v>139</v>
      </c>
      <c r="C9" s="35">
        <v>0</v>
      </c>
    </row>
    <row r="10" spans="1:3" s="29" customFormat="1" x14ac:dyDescent="0.15">
      <c r="A10" s="31" t="s">
        <v>159</v>
      </c>
      <c r="B10" s="34" t="s">
        <v>140</v>
      </c>
      <c r="C10" s="35">
        <v>2</v>
      </c>
    </row>
    <row r="11" spans="1:3" s="29" customFormat="1" x14ac:dyDescent="0.15">
      <c r="A11" s="31" t="s">
        <v>160</v>
      </c>
      <c r="B11" s="31" t="s">
        <v>151</v>
      </c>
      <c r="C11" s="35">
        <v>1</v>
      </c>
    </row>
    <row r="12" spans="1:3" x14ac:dyDescent="0.15">
      <c r="A12" s="31" t="s">
        <v>161</v>
      </c>
      <c r="B12" s="31" t="s">
        <v>141</v>
      </c>
      <c r="C12" s="35">
        <v>0.36699999999999999</v>
      </c>
    </row>
    <row r="13" spans="1:3" x14ac:dyDescent="0.15">
      <c r="A13" s="31" t="s">
        <v>162</v>
      </c>
      <c r="B13" s="31" t="s">
        <v>152</v>
      </c>
      <c r="C13" s="35">
        <v>1</v>
      </c>
    </row>
    <row r="14" spans="1:3" x14ac:dyDescent="0.15">
      <c r="A14" s="31" t="s">
        <v>163</v>
      </c>
      <c r="B14" s="31" t="s">
        <v>142</v>
      </c>
      <c r="C14" s="35">
        <v>0.19800000000000001</v>
      </c>
    </row>
    <row r="15" spans="1:3" ht="24" x14ac:dyDescent="0.15">
      <c r="A15" s="31" t="s">
        <v>164</v>
      </c>
      <c r="B15" s="34" t="s">
        <v>143</v>
      </c>
      <c r="C15" s="35">
        <v>0</v>
      </c>
    </row>
    <row r="16" spans="1:3" x14ac:dyDescent="0.15">
      <c r="A16" s="31" t="s">
        <v>165</v>
      </c>
      <c r="B16" s="31" t="s">
        <v>144</v>
      </c>
      <c r="C16" s="35">
        <v>1.25</v>
      </c>
    </row>
    <row r="17" spans="1:3" x14ac:dyDescent="0.15">
      <c r="A17" s="31" t="s">
        <v>166</v>
      </c>
      <c r="B17" s="31" t="s">
        <v>145</v>
      </c>
      <c r="C17" s="35">
        <v>1.9590000000000001</v>
      </c>
    </row>
  </sheetData>
  <phoneticPr fontId="2"/>
  <pageMargins left="0.7" right="0.7" top="0.75" bottom="0.75" header="0.3" footer="0.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workbookViewId="0">
      <selection activeCell="B10" sqref="B10"/>
    </sheetView>
  </sheetViews>
  <sheetFormatPr defaultRowHeight="13.5" x14ac:dyDescent="0.15"/>
  <cols>
    <col min="1" max="1" width="18.625" style="18" customWidth="1"/>
    <col min="2" max="2" width="22.75" style="18" customWidth="1"/>
  </cols>
  <sheetData>
    <row r="1" spans="1:2" x14ac:dyDescent="0.15">
      <c r="A1" s="99" t="s">
        <v>134</v>
      </c>
      <c r="B1" s="99"/>
    </row>
    <row r="2" spans="1:2" ht="25.5" customHeight="1" x14ac:dyDescent="0.15">
      <c r="A2" s="101" t="s">
        <v>135</v>
      </c>
      <c r="B2" s="102"/>
    </row>
    <row r="3" spans="1:2" ht="24" x14ac:dyDescent="0.15">
      <c r="A3" s="19" t="s">
        <v>61</v>
      </c>
      <c r="B3" s="16" t="s">
        <v>60</v>
      </c>
    </row>
    <row r="4" spans="1:2" x14ac:dyDescent="0.15">
      <c r="A4" s="36">
        <v>-2</v>
      </c>
      <c r="B4" s="36">
        <v>0.5</v>
      </c>
    </row>
    <row r="5" spans="1:2" x14ac:dyDescent="0.15">
      <c r="A5" s="36">
        <v>-1.1399999999999999</v>
      </c>
      <c r="B5" s="36">
        <v>0.5</v>
      </c>
    </row>
    <row r="6" spans="1:2" x14ac:dyDescent="0.15">
      <c r="A6" s="36">
        <v>-0.06</v>
      </c>
      <c r="B6" s="36">
        <v>0</v>
      </c>
    </row>
    <row r="7" spans="1:2" x14ac:dyDescent="0.15">
      <c r="A7" s="36">
        <v>0.06</v>
      </c>
      <c r="B7" s="36">
        <v>0</v>
      </c>
    </row>
    <row r="8" spans="1:2" x14ac:dyDescent="0.15">
      <c r="A8" s="36">
        <v>1.1399999999999999</v>
      </c>
      <c r="B8" s="36">
        <v>-0.5</v>
      </c>
    </row>
    <row r="9" spans="1:2" x14ac:dyDescent="0.15">
      <c r="A9" s="36">
        <v>2</v>
      </c>
      <c r="B9" s="36">
        <v>-0.5</v>
      </c>
    </row>
  </sheetData>
  <mergeCells count="2">
    <mergeCell ref="A1:B1"/>
    <mergeCell ref="A2:B2"/>
  </mergeCells>
  <phoneticPr fontId="2"/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可変速揚水関数（揚水）</vt:lpstr>
      <vt:lpstr>可変速揚水関数（発電）</vt:lpstr>
      <vt:lpstr>可変速揚水定数</vt:lpstr>
      <vt:lpstr>汽力定数</vt:lpstr>
      <vt:lpstr>汽力関数</vt:lpstr>
      <vt:lpstr>GTCC定数</vt:lpstr>
      <vt:lpstr>GTCC関数</vt:lpstr>
      <vt:lpstr>定速揚水定数</vt:lpstr>
      <vt:lpstr>定速揚水関数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k-toku</dc:creator>
  <cp:lastModifiedBy>PowerSystemLab</cp:lastModifiedBy>
  <cp:lastPrinted>2015-04-10T01:56:16Z</cp:lastPrinted>
  <dcterms:created xsi:type="dcterms:W3CDTF">2014-09-09T01:21:36Z</dcterms:created>
  <dcterms:modified xsi:type="dcterms:W3CDTF">2022-09-16T09:30:44Z</dcterms:modified>
</cp:coreProperties>
</file>